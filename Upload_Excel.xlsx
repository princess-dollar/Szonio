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0l14r/Desktop/Szonio/"/>
    </mc:Choice>
  </mc:AlternateContent>
  <xr:revisionPtr revIDLastSave="0" documentId="8_{647F450C-3BC8-E246-AE9F-699267306F08}" xr6:coauthVersionLast="47" xr6:coauthVersionMax="47" xr10:uidLastSave="{00000000-0000-0000-0000-000000000000}"/>
  <bookViews>
    <workbookView xWindow="0" yWindow="0" windowWidth="28800" windowHeight="18000" xr2:uid="{757C334E-071A-1B47-8DD8-995C29E89A33}"/>
  </bookViews>
  <sheets>
    <sheet name="สรุปงวดเงินเดือน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_A65700">'[1]MTO REV.2(ARMOR)'!#REF!</definedName>
    <definedName name="__A65800">'[1]MTO REV.2(ARMOR)'!#REF!</definedName>
    <definedName name="__A66000">'[1]MTO REV.2(ARMOR)'!#REF!</definedName>
    <definedName name="__A67000">'[1]MTO REV.2(ARMOR)'!#REF!</definedName>
    <definedName name="__A68000">'[1]MTO REV.2(ARMOR)'!#REF!</definedName>
    <definedName name="__A70000">'[1]MTO REV.2(ARMOR)'!#REF!</definedName>
    <definedName name="__A75000">'[1]MTO REV.2(ARMOR)'!#REF!</definedName>
    <definedName name="__A85000">'[1]MTO REV.2(ARMOR)'!#REF!</definedName>
    <definedName name="__bac1">'[2]5%'!#REF!</definedName>
    <definedName name="__bac2">'[2]5%'!#REF!</definedName>
    <definedName name="__CON1">#REF!</definedName>
    <definedName name="__CON2">#REF!</definedName>
    <definedName name="__NET2">#REF!</definedName>
    <definedName name="__NPV11">'[4]Cp&gt;10-Ln&lt;10'!#REF!</definedName>
    <definedName name="__npv22">'[4]Ln&lt;20'!#REF!</definedName>
    <definedName name="__oto10">[5]VL!#REF!</definedName>
    <definedName name="__tct3">[6]gVL!$Q$23</definedName>
    <definedName name="_1">#REF!</definedName>
    <definedName name="_2">#REF!</definedName>
    <definedName name="_A65700">'[1]MTO REV.2(ARMOR)'!#REF!</definedName>
    <definedName name="_A65800">'[1]MTO REV.2(ARMOR)'!#REF!</definedName>
    <definedName name="_A66000">'[1]MTO REV.2(ARMOR)'!#REF!</definedName>
    <definedName name="_A67000">'[1]MTO REV.2(ARMOR)'!#REF!</definedName>
    <definedName name="_A68000">'[1]MTO REV.2(ARMOR)'!#REF!</definedName>
    <definedName name="_A70000">'[1]MTO REV.2(ARMOR)'!#REF!</definedName>
    <definedName name="_A75000">'[1]MTO REV.2(ARMOR)'!#REF!</definedName>
    <definedName name="_A85000">'[1]MTO REV.2(ARMOR)'!#REF!</definedName>
    <definedName name="_a99">#REF!</definedName>
    <definedName name="_ADB99">#REF!</definedName>
    <definedName name="_ADR98">#REF!</definedName>
    <definedName name="_ADR99">#REF!</definedName>
    <definedName name="_bac1">'[2]5%'!#REF!</definedName>
    <definedName name="_bac2">'[2]5%'!#REF!</definedName>
    <definedName name="_CON1">#REF!</definedName>
    <definedName name="_CON2">#REF!</definedName>
    <definedName name="_Fill">#REF!</definedName>
    <definedName name="_xlnm._FilterDatabase" localSheetId="0" hidden="1">สรุปงวดเงินเดือน!$A$3:$CJ$37</definedName>
    <definedName name="_NET2">#REF!</definedName>
    <definedName name="_NPV11">'[4]Cp&gt;10-Ln&lt;10'!#REF!</definedName>
    <definedName name="_npv22">'[4]Ln&lt;20'!#REF!</definedName>
    <definedName name="_Order1">255</definedName>
    <definedName name="_Order2">255</definedName>
    <definedName name="_oto10">[5]VL!#REF!</definedName>
    <definedName name="_PRB99">#REF!</definedName>
    <definedName name="_PRR98">#REF!</definedName>
    <definedName name="_PRR99">#REF!</definedName>
    <definedName name="_Sort">#REF!</definedName>
    <definedName name="_tct3">[6]gVL!$Q$23</definedName>
    <definedName name="_TOB99">#REF!</definedName>
    <definedName name="_TOR98">#REF!</definedName>
    <definedName name="_TOR99">#REF!</definedName>
    <definedName name="A">#REF!</definedName>
    <definedName name="a277Print_Titles">#REF!</definedName>
    <definedName name="A6N2">[7]A6!$A$3:$F$13</definedName>
    <definedName name="A6N3">[7]A6!$A$3:$G$13</definedName>
    <definedName name="AAA">'[8]MTL$-INTER'!#REF!</definedName>
    <definedName name="ABC">#REF!</definedName>
    <definedName name="actgros">#REF!</definedName>
    <definedName name="ADVERTKF">#REF!</definedName>
    <definedName name="ADVERTML">#REF!</definedName>
    <definedName name="AF">#REF!</definedName>
    <definedName name="AHG">#REF!</definedName>
    <definedName name="Alka">#REF!</definedName>
    <definedName name="all">#REF!</definedName>
    <definedName name="alv">#REF!</definedName>
    <definedName name="AM">#REF!</definedName>
    <definedName name="Apportionment">[9]BGTotal!$B$39,[9]BGTotal!$B$40,[9]BGTotal!$B$41,[9]BGTotal!$B$42,[9]BGTotal!$B$47</definedName>
    <definedName name="Apportionment2">[10]App2!$F$64:$F$71</definedName>
    <definedName name="Aspirin">#REF!</definedName>
    <definedName name="assumption">#REF!</definedName>
    <definedName name="att">#REF!</definedName>
    <definedName name="Autan">#REF!</definedName>
    <definedName name="Bang_cly">#REF!</definedName>
    <definedName name="Bang_CVC">#REF!</definedName>
    <definedName name="Bang_travl">#REF!</definedName>
    <definedName name="Bayfresh">#REF!</definedName>
    <definedName name="Baygon">#REF!</definedName>
    <definedName name="bd">[6]gVL!$Q$15</definedName>
    <definedName name="BG_BF_Autan">#REF!</definedName>
    <definedName name="BOQ">#REF!</definedName>
    <definedName name="Brand">#REF!</definedName>
    <definedName name="BRSYear">[11]General!$C$10</definedName>
    <definedName name="BT_125">#REF!</definedName>
    <definedName name="BT200_50">#REF!</definedName>
    <definedName name="BusinessUnits">[9]menu!$O$6,[9]menu!$O$9,[9]menu!$O$12,[9]menu!$O$15,[9]menu!$O$18,[9]menu!$O$21,[9]menu!$O$24,[9]menu!$O$27</definedName>
    <definedName name="BVCISUMMARY">#REF!</definedName>
    <definedName name="CABLE2">'[12]MTO REV.0'!$A$1:$Q$570</definedName>
    <definedName name="Canesten">#REF!</definedName>
    <definedName name="CH">[5]TN!#REF!</definedName>
    <definedName name="Chu">[5]ND!#REF!</definedName>
    <definedName name="Co">#REF!</definedName>
    <definedName name="COMMON">#REF!</definedName>
    <definedName name="company">[13]Parameters!$D$4</definedName>
    <definedName name="CON_EQP_COS">#REF!</definedName>
    <definedName name="Coryfin">#REF!</definedName>
    <definedName name="CostCenterCopy">[10]App2!$C$64:$C$73</definedName>
    <definedName name="CostCenters">[9]menu!$E$6,[9]menu!$E$9,[9]menu!$E$12,[9]menu!$E$15,[9]menu!$E$18,[9]menu!$E$21,[9]menu!$E$24,[9]menu!$E$27,[9]menu!$E$30,[9]menu!$E$33</definedName>
    <definedName name="CostCentersApp3">#REF!</definedName>
    <definedName name="COUNTIF_E23_AT23___A_2___2__COUNTIF_E23_AT23___A">[14]JANUARY!#REF!</definedName>
    <definedName name="COVER">#REF!</definedName>
    <definedName name="cpd">[6]gVL!$Q$20</definedName>
    <definedName name="cpdd">[6]gVL!$Q$21</definedName>
    <definedName name="CRITINST">#REF!</definedName>
    <definedName name="CRITPURC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_50">#REF!</definedName>
    <definedName name="cv">[15]gvl!$N$17</definedName>
    <definedName name="cvSelect">#REF!</definedName>
    <definedName name="cvThisModel">#REF!</definedName>
    <definedName name="d">#REF!</definedName>
    <definedName name="Data_Cost">#REF!</definedName>
    <definedName name="DataFilter">[16]!DataFilter</definedName>
    <definedName name="DataSort">[16]!DataSort</definedName>
    <definedName name="dcc">[6]gVL!$Q$50</definedName>
    <definedName name="dcl">[6]gVL!$Q$40</definedName>
    <definedName name="dd0.5x1">[6]gVL!$Q$10</definedName>
    <definedName name="dd1x2">[15]gvl!$N$9</definedName>
    <definedName name="dd2x4">[6]gVL!$Q$12</definedName>
    <definedName name="ddien">[6]gVL!$Q$51</definedName>
    <definedName name="den_bu">#REF!</definedName>
    <definedName name="DICH11">'[4]EIRR&gt;1&lt;1'!#REF!</definedName>
    <definedName name="dich22">'[4]EIRR&gt; 2'!#REF!</definedName>
    <definedName name="dm">'[17]Chi tiet'!#REF!</definedName>
    <definedName name="dmz">[6]gVL!$Q$45</definedName>
    <definedName name="dno">[6]gVL!$Q$49</definedName>
    <definedName name="Domestic">#REF!</definedName>
    <definedName name="DSUMDATA">#REF!</definedName>
    <definedName name="EIRR11">'[4]EIRR&gt;1&lt;1'!#REF!</definedName>
    <definedName name="EIRR22">'[4]EIRR&lt;2'!#REF!</definedName>
    <definedName name="empeo2023">[16]!DataFilter</definedName>
    <definedName name="EmployeeGroup">#REF!</definedName>
    <definedName name="EmployeeID">#REF!</definedName>
    <definedName name="EmployeeName">#REF!</definedName>
    <definedName name="EmployeePosition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xport">#REF!</definedName>
    <definedName name="f">'[18]LS (March''03)'!#REF!</definedName>
    <definedName name="fte">#REF!</definedName>
    <definedName name="g">'[19]DG '!#REF!</definedName>
    <definedName name="g40g40">[20]tuong!#REF!</definedName>
    <definedName name="gg">#REF!</definedName>
    <definedName name="Gia_tien">#REF!</definedName>
    <definedName name="gia_tien_BTN">#REF!</definedName>
    <definedName name="GoBack">[16]!GoBack</definedName>
    <definedName name="GPT_GROUNDING_PT">'[21]NEW-PANEL'!#REF!</definedName>
    <definedName name="group1">#REF!</definedName>
    <definedName name="group2">#REF!</definedName>
    <definedName name="group3">#REF!</definedName>
    <definedName name="group4">#REF!</definedName>
    <definedName name="gv">[6]gVL!$Q$28</definedName>
    <definedName name="gvl">[22]GVL!$A$6:$F$131</definedName>
    <definedName name="h">{"'Sheet1'!$L$16"}</definedName>
    <definedName name="HEADDAYA3">[14]Calendar!$U$65:$AA$70,[14]Calendar!$L$65:$R$70,[14]Calendar!$C$65:$I$70,[14]Calendar!$C$51:$I$56,[14]Calendar!$L$51:$R$56,[14]Calendar!$U$51:$AA$56,[14]Calendar!$U$37:$AA$42,[14]Calendar!$L$37:$R$41,[14]Calendar!$L$42:$R$42,[14]Calendar!$C$37:$I$42,[14]Calendar!$C$23:$I$28,[14]Calendar!$L$23:$R$28,[14]Calendar!$U$23:$AA$28</definedName>
    <definedName name="HEADDAYA4">[14]Calendar!$C$23:$I$28,[14]Calendar!$L$23,[14]Calendar!$R$23,[14]Calendar!$L$23:$R$28,[14]Calendar!$U$23:$AA$28,[14]Calendar!$C$37:$I$42,[14]Calendar!$L$37:$R$42,[14]Calendar!$U$37:$AA$42,[14]Calendar!$C$51:$I$56,[14]Calendar!$L$51:$R$55,[14]Calendar!$L$51:$R$56,[14]Calendar!$U$51:$AA$55,[14]Calendar!$AA$55,[14]Calendar!$U$51:$AA$56,[14]Calendar!$C$65:$I$70,[14]Calendar!$L$65:$R$70,[14]Calendar!$U$65:$AA$70</definedName>
    <definedName name="HEADWEEKA3">[14]Calendar!$C$22:$I$22,[14]Calendar!$L$22:$R$22,[14]Calendar!$U$22:$AA$22,[14]Calendar!$C$36:$I$36,[14]Calendar!$L$36:$R$36,[14]Calendar!$U$36:$AA$36,[14]Calendar!$C$50:$I$50,[14]Calendar!$L$50:$R$50,[14]Calendar!$U$50:$AA$50,[14]Calendar!$C$64:$I$64,[14]Calendar!$L$64:$R$64,[14]Calendar!$U$64:$AA$64</definedName>
    <definedName name="HEADWEEKA4">[14]Calendar!$C$22:$I$22,[14]Calendar!$L$22:$R$22,[14]Calendar!$U$22:$AA$22,[14]Calendar!$U$36:$AA$36,[14]Calendar!$L$36:$R$36,[14]Calendar!$C$36:$I$36,[14]Calendar!$U$50:$AA$50,[14]Calendar!$L$50:$R$50,[14]Calendar!$C$50:$I$50,[14]Calendar!$U$64:$AA$64,[14]Calendar!$L$64:$R$64,[14]Calendar!$C$64:$I$64</definedName>
    <definedName name="HH">#REF!</definedName>
    <definedName name="HOME_MANP">#REF!</definedName>
    <definedName name="HOMEOFFICE_COST">#REF!</definedName>
    <definedName name="HR_Contractor">#REF!</definedName>
    <definedName name="HREmployee_working">#REF!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>{"'Sheet1'!$L$16"}</definedName>
    <definedName name="I">#REF!</definedName>
    <definedName name="ID">[23]Sheet2!$A$1:$C$125</definedName>
    <definedName name="IDLAB_COST">#REF!</definedName>
    <definedName name="Impres_titres_MI">#REF!</definedName>
    <definedName name="income">[9]BGTotal!$B$12:$B$13,[9]BGTotal!$A$14,[9]BGTotal!$B$15:$B$16,[9]BGTotal!$A$17:$A$19,[9]BGTotal!$B$20:$B$22,[9]BGTotal!$A$23,[9]BGTotal!$A$23:$A$24,[9]BGTotal!$B$25:$B$29,[9]BGTotal!$A$30:$A$31,[9]BGTotal!$B$32:$B$33,[9]BGTotal!$A$34:$A$35,[9]BGTotal!$B$36:$B$37,[9]BGTotal!$A$38,[9]BGTotal!$B$39:$B$45,[9]BGTotal!$A$46,[9]BGTotal!$B$47:$B$49,[9]BGTotal!$A$51,[9]BGTotal!$B$52,[9]BGTotal!$A$55</definedName>
    <definedName name="income3">[9]BGTotal!$B$12:$B$13,[9]BGTotal!$B$15:$B$16,[9]BGTotal!$B$20:$B$22,[9]BGTotal!$B$25,[9]BGTotal!$B$25,[9]BGTotal!$B$25:$B$29,[9]BGTotal!$B$32:$B$33,[9]BGTotal!$B$36:$B$37,[9]BGTotal!$B$39:$B$45,[9]BGTotal!$B$47:$B$49,[9]BGTotal!$B$52</definedName>
    <definedName name="INDMANP">#REF!</definedName>
    <definedName name="j">#REF!</definedName>
    <definedName name="j356C8">#REF!</definedName>
    <definedName name="JJ">#REF!</definedName>
    <definedName name="JR_PAGE_ANCHOR_0_1">'[24]พ.ย.'!$A$1</definedName>
    <definedName name="k">#REF!</definedName>
    <definedName name="KF">#REF!</definedName>
    <definedName name="Kiem_tra_trung_ten">#REF!</definedName>
    <definedName name="kk">#REF!</definedName>
    <definedName name="kno">[6]gVL!$Q$48</definedName>
    <definedName name="l">#REF!</definedName>
    <definedName name="LA">#REF!</definedName>
    <definedName name="LB">#REF!</definedName>
    <definedName name="LBU">#REF!</definedName>
    <definedName name="LC">#REF!</definedName>
    <definedName name="LCU">#REF!</definedName>
    <definedName name="LD">#REF!</definedName>
    <definedName name="LE">#REF!</definedName>
    <definedName name="leave">#REF!</definedName>
    <definedName name="LIproduct">#REF!</definedName>
    <definedName name="ll">#REF!</definedName>
    <definedName name="lll">#REF!</definedName>
    <definedName name="llll">#REF!</definedName>
    <definedName name="lón2">[25]Temp!$B$3</definedName>
    <definedName name="lón3">[25]Temp!$B$4</definedName>
    <definedName name="lón5">[25]Temp!$B$6</definedName>
    <definedName name="m">#REF!</definedName>
    <definedName name="MAJ_CON_EQP">#REF!</definedName>
    <definedName name="MG_A">#REF!</definedName>
    <definedName name="mm">'[26]Marges internes'!$L$59</definedName>
    <definedName name="MRS_MTT">#REF!</definedName>
    <definedName name="mtpcc">'[18]LS (March''03)'!#REF!</definedName>
    <definedName name="Mydata">OFFSET([27]Sheet1!$A$1,0,0,COUNTA([27]Sheet1!$A$1:$A$65536),1)</definedName>
    <definedName name="Mydata2">OFFSET([27]Sheet1!$A$1,0,0,COUNTA([27]Sheet1!#REF!),2)</definedName>
    <definedName name="nam">#REF!</definedName>
    <definedName name="nd">[6]gVL!$Q$30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_Costs">#REF!</definedName>
    <definedName name="ngay">#REF!</definedName>
    <definedName name="NH">#REF!</definedName>
    <definedName name="NHot">#REF!</definedName>
    <definedName name="No">#REF!</definedName>
    <definedName name="nuoc">[15]gvl!$N$38</definedName>
    <definedName name="Oct">'[18]LS (March''03)'!#REF!</definedName>
    <definedName name="Old_costs">#REF!</definedName>
    <definedName name="Operating_Costs">#REF!</definedName>
    <definedName name="Org_Size">[28]Coding!$Y$4:$Y$23</definedName>
    <definedName name="OTHER_PANEL">'[21]NEW-PANEL'!#REF!</definedName>
    <definedName name="output">#REF!</definedName>
    <definedName name="PA">#REF!</definedName>
    <definedName name="PayDay_Export">#REF!</definedName>
    <definedName name="pcsaddRQS">#REF!</definedName>
    <definedName name="pcsaddRSL">#REF!</definedName>
    <definedName name="pcsaddSTS">#REF!</definedName>
    <definedName name="PL_指示燈___P.B.___REST_P.B._壓扣開關">'[21]NEW-PANEL'!#REF!</definedName>
    <definedName name="PM">[29]IBASE!$AH$16:$AV$110</definedName>
    <definedName name="PRESSEKF">#REF!</definedName>
    <definedName name="PRESSEML">#REF!</definedName>
    <definedName name="PRINT_AREA_MI">#REF!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PTDG_cau">#REF!</definedName>
    <definedName name="Quantity">#REF!</definedName>
    <definedName name="rate00">[13]Parameters!$J$11</definedName>
    <definedName name="rate98">[13]Parameters!$D$11</definedName>
    <definedName name="rate99b">[13]Parameters!$F$11</definedName>
    <definedName name="rate99p">[13]Parameters!$H$11</definedName>
    <definedName name="RefCCApp3">#REF!</definedName>
    <definedName name="resultt">#REF!</definedName>
    <definedName name="sap">#REF!</definedName>
    <definedName name="SB">[29]IBASE!$AH$7:$AL$14</definedName>
    <definedName name="Sheet2.MIT">#REF!</definedName>
    <definedName name="Sheet4.MIT">#REF!</definedName>
    <definedName name="Sheet5.MIT">#REF!</definedName>
    <definedName name="Sheet6.MIT">#REF!</definedName>
    <definedName name="shift">#REF!</definedName>
    <definedName name="skd">[6]gVL!$Q$37</definedName>
    <definedName name="SORT">#REF!</definedName>
    <definedName name="SORT_AREA">'[30]DI-ESTI'!$A$8:$R$489</definedName>
    <definedName name="SPEC">#REF!</definedName>
    <definedName name="SPECSUMMARY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MARY">#REF!</definedName>
    <definedName name="T">#REF!</definedName>
    <definedName name="Taikhoan">'[31]Tai khoan'!$A$3:$C$93</definedName>
    <definedName name="TaxTV">10%</definedName>
    <definedName name="TaxXL">5%</definedName>
    <definedName name="tb">[6]gVL!$Q$29</definedName>
    <definedName name="Test">#REF!</definedName>
    <definedName name="Test1">#REF!</definedName>
    <definedName name="thang">#REF!</definedName>
    <definedName name="THop2">[32]TDT!$D$88</definedName>
    <definedName name="thucthanh">'[33]TLP CAU'!$E$29</definedName>
    <definedName name="Tien">#REF!</definedName>
    <definedName name="Tim_Lan_Xuat_Hien">#REF!</definedName>
    <definedName name="TL">[5]ND!#REF!</definedName>
    <definedName name="tno">[6]gVL!$Q$47</definedName>
    <definedName name="Total_CC">#REF!</definedName>
    <definedName name="TOTALKF">#REF!</definedName>
    <definedName name="TOTALML">#REF!</definedName>
    <definedName name="Tra_don_gia_KS">#REF!</definedName>
    <definedName name="Tra_phan_tram">[34]Tra_bang!#REF!</definedName>
    <definedName name="TRA_VAT_LIEU">#REF!</definedName>
    <definedName name="Tra_VL">[35]TVL!$A$1:$D$227</definedName>
    <definedName name="Trainee">#REF!</definedName>
    <definedName name="TRANSFORMER">'[21]NEW-PANEL'!#REF!</definedName>
    <definedName name="ty_le">#REF!</definedName>
    <definedName name="ty_le_BTN">#REF!</definedName>
    <definedName name="u">#REF!</definedName>
    <definedName name="UA">#REF!</definedName>
    <definedName name="UB">#REF!</definedName>
    <definedName name="UBU">#REF!</definedName>
    <definedName name="UC">#REF!</definedName>
    <definedName name="UCU">#REF!</definedName>
    <definedName name="UD">#REF!</definedName>
    <definedName name="UE">#REF!</definedName>
    <definedName name="umm">#REF!</definedName>
    <definedName name="unpaid">#REF!</definedName>
    <definedName name="VA">[5]ND!#REF!</definedName>
    <definedName name="VAKF">#REF!</definedName>
    <definedName name="VARIINST">#REF!</definedName>
    <definedName name="VARIPURC">#REF!</definedName>
    <definedName name="vdkt">[6]gVL!$Q$55</definedName>
    <definedName name="W">#REF!</definedName>
    <definedName name="X">#REF!</definedName>
    <definedName name="xh">#REF!</definedName>
    <definedName name="xm">[15]gvl!$N$16</definedName>
    <definedName name="xuat_hien">[36]DTCT!$A$6:$A$58</definedName>
    <definedName name="Xuat_hien1">[37]DTCT!$A$7:$A$238</definedName>
    <definedName name="xxx">#REF!</definedName>
    <definedName name="ytd">#REF!</definedName>
    <definedName name="z">{"'Sheet1'!$L$16"}</definedName>
    <definedName name="ZYX">#REF!</definedName>
    <definedName name="ZZZ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J36" i="1" l="1"/>
  <c r="CI36" i="1"/>
  <c r="CD36" i="1"/>
  <c r="CE36" i="1" s="1"/>
  <c r="CF36" i="1" s="1"/>
  <c r="CJ35" i="1"/>
  <c r="CI35" i="1"/>
  <c r="CD35" i="1"/>
  <c r="CE35" i="1" s="1"/>
  <c r="CF35" i="1" s="1"/>
  <c r="CJ34" i="1"/>
  <c r="CI34" i="1"/>
  <c r="CD34" i="1"/>
  <c r="CE34" i="1" s="1"/>
  <c r="CF34" i="1" s="1"/>
  <c r="CJ33" i="1"/>
  <c r="CI33" i="1"/>
  <c r="CD33" i="1"/>
  <c r="CE33" i="1" s="1"/>
  <c r="CF33" i="1" s="1"/>
  <c r="CJ32" i="1"/>
  <c r="CI32" i="1"/>
  <c r="CD32" i="1"/>
  <c r="CE32" i="1" s="1"/>
  <c r="CF32" i="1" s="1"/>
  <c r="CJ31" i="1"/>
  <c r="CI31" i="1"/>
  <c r="CD31" i="1"/>
  <c r="CE31" i="1" s="1"/>
  <c r="CF31" i="1" s="1"/>
  <c r="CJ30" i="1"/>
  <c r="CI30" i="1"/>
  <c r="CD30" i="1"/>
  <c r="CE30" i="1" s="1"/>
  <c r="CF30" i="1" s="1"/>
  <c r="CJ29" i="1"/>
  <c r="CI29" i="1"/>
  <c r="CD29" i="1"/>
  <c r="CE29" i="1" s="1"/>
  <c r="CF29" i="1" s="1"/>
  <c r="CJ28" i="1"/>
  <c r="CI28" i="1"/>
  <c r="CD28" i="1"/>
  <c r="CE28" i="1" s="1"/>
  <c r="CF28" i="1" s="1"/>
  <c r="CJ27" i="1"/>
  <c r="CI27" i="1"/>
  <c r="CD27" i="1"/>
  <c r="CE27" i="1" s="1"/>
  <c r="CF27" i="1" s="1"/>
  <c r="CJ26" i="1"/>
  <c r="CI26" i="1"/>
  <c r="CD26" i="1"/>
  <c r="CE26" i="1" s="1"/>
  <c r="CF26" i="1" s="1"/>
  <c r="CJ25" i="1"/>
  <c r="CI25" i="1"/>
  <c r="CD25" i="1"/>
  <c r="CE25" i="1" s="1"/>
  <c r="CF25" i="1" s="1"/>
  <c r="CJ24" i="1"/>
  <c r="CI24" i="1"/>
  <c r="CD24" i="1"/>
  <c r="CE24" i="1" s="1"/>
  <c r="CF24" i="1" s="1"/>
  <c r="CJ23" i="1"/>
  <c r="CI23" i="1"/>
  <c r="CD23" i="1"/>
  <c r="CE23" i="1" s="1"/>
  <c r="CF23" i="1" s="1"/>
  <c r="CJ22" i="1"/>
  <c r="CI22" i="1"/>
  <c r="CD22" i="1"/>
  <c r="CE22" i="1" s="1"/>
  <c r="CF22" i="1" s="1"/>
  <c r="CJ21" i="1"/>
  <c r="CI21" i="1"/>
  <c r="CD21" i="1"/>
  <c r="CE21" i="1" s="1"/>
  <c r="CF21" i="1" s="1"/>
  <c r="CJ20" i="1"/>
  <c r="CI20" i="1"/>
  <c r="CD20" i="1"/>
  <c r="CE20" i="1" s="1"/>
  <c r="CF20" i="1" s="1"/>
  <c r="CJ19" i="1"/>
  <c r="CI19" i="1"/>
  <c r="CD19" i="1"/>
  <c r="CE19" i="1" s="1"/>
  <c r="CF19" i="1" s="1"/>
  <c r="CJ18" i="1"/>
  <c r="CI18" i="1"/>
  <c r="CD18" i="1"/>
  <c r="CE18" i="1" s="1"/>
  <c r="CF18" i="1" s="1"/>
  <c r="CJ17" i="1"/>
  <c r="CI17" i="1"/>
  <c r="CD17" i="1"/>
  <c r="CE17" i="1" s="1"/>
  <c r="CF17" i="1" s="1"/>
  <c r="CJ16" i="1"/>
  <c r="CI16" i="1"/>
  <c r="CD16" i="1"/>
  <c r="CE16" i="1" s="1"/>
  <c r="CF16" i="1" s="1"/>
  <c r="CJ15" i="1"/>
  <c r="CI15" i="1"/>
  <c r="CD15" i="1"/>
  <c r="CE15" i="1" s="1"/>
  <c r="CF15" i="1" s="1"/>
  <c r="CJ14" i="1"/>
  <c r="CI14" i="1"/>
  <c r="CD14" i="1"/>
  <c r="CE14" i="1" s="1"/>
  <c r="CF14" i="1" s="1"/>
  <c r="CJ13" i="1"/>
  <c r="CI13" i="1"/>
  <c r="CD13" i="1"/>
  <c r="CE13" i="1" s="1"/>
  <c r="CF13" i="1" s="1"/>
  <c r="CJ12" i="1"/>
  <c r="CI12" i="1"/>
  <c r="CD12" i="1"/>
  <c r="CE12" i="1" s="1"/>
  <c r="CF12" i="1" s="1"/>
  <c r="CJ11" i="1"/>
  <c r="CI11" i="1"/>
  <c r="CD11" i="1"/>
  <c r="CE11" i="1" s="1"/>
  <c r="CF11" i="1" s="1"/>
  <c r="CJ10" i="1"/>
  <c r="CI10" i="1"/>
  <c r="CD10" i="1"/>
  <c r="CE10" i="1" s="1"/>
  <c r="CF10" i="1" s="1"/>
  <c r="CJ9" i="1"/>
  <c r="CI9" i="1"/>
  <c r="CD9" i="1"/>
  <c r="CE9" i="1" s="1"/>
  <c r="CF9" i="1" s="1"/>
  <c r="CJ8" i="1"/>
  <c r="CI8" i="1"/>
  <c r="CD8" i="1"/>
  <c r="CE8" i="1" s="1"/>
  <c r="CF8" i="1" s="1"/>
  <c r="CJ7" i="1"/>
  <c r="CI7" i="1"/>
  <c r="CD7" i="1"/>
  <c r="CE7" i="1" s="1"/>
  <c r="CF7" i="1" s="1"/>
  <c r="CJ6" i="1"/>
  <c r="CI6" i="1"/>
  <c r="CD6" i="1"/>
  <c r="CE6" i="1" s="1"/>
  <c r="CF6" i="1" s="1"/>
  <c r="CJ5" i="1"/>
  <c r="CI5" i="1"/>
  <c r="CD5" i="1"/>
  <c r="CE5" i="1" s="1"/>
  <c r="CF5" i="1" s="1"/>
  <c r="CJ4" i="1"/>
  <c r="CJ37" i="1" s="1"/>
  <c r="CI4" i="1"/>
  <c r="CI37" i="1" s="1"/>
  <c r="CD4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  <c r="CE4" i="1" l="1"/>
  <c r="CD37" i="1"/>
  <c r="CF4" i="1" l="1"/>
  <c r="CF37" i="1" s="1"/>
  <c r="CE37" i="1"/>
</calcChain>
</file>

<file path=xl/sharedStrings.xml><?xml version="1.0" encoding="utf-8"?>
<sst xmlns="http://schemas.openxmlformats.org/spreadsheetml/2006/main" count="696" uniqueCount="278">
  <si>
    <t>ข้อมูลทั่วไป</t>
  </si>
  <si>
    <t>เงินเดือน</t>
  </si>
  <si>
    <t>ค่าล่วงเวลา</t>
  </si>
  <si>
    <t>เบี้ยขยัน</t>
  </si>
  <si>
    <t>ชดเชยวันลา</t>
  </si>
  <si>
    <t>รายรับ</t>
  </si>
  <si>
    <t>รายหัก</t>
  </si>
  <si>
    <t>พักงาน</t>
  </si>
  <si>
    <t>ขาดงาน/ไม่ทาบบัตร</t>
  </si>
  <si>
    <t>สาย/กลับก่อน</t>
  </si>
  <si>
    <t>ลาไม่รับค่าจ้าง</t>
  </si>
  <si>
    <t>พักเที่ยง</t>
  </si>
  <si>
    <t>ชดเชยวันลา (หัก)</t>
  </si>
  <si>
    <t>ประกันสังคม</t>
  </si>
  <si>
    <t>กองทุนสำรองเลี้ยงชีพ</t>
  </si>
  <si>
    <t>สรุปยอดเงิน</t>
  </si>
  <si>
    <t>รหัสพนักงาน</t>
  </si>
  <si>
    <t>ชื่อ-นามสกุล</t>
  </si>
  <si>
    <t>วันเริ่มงาน</t>
  </si>
  <si>
    <t>วันลาออก</t>
  </si>
  <si>
    <t>ประเภทพนักงาน</t>
  </si>
  <si>
    <t>สถานที่ทำงาน</t>
  </si>
  <si>
    <t>แผนก</t>
  </si>
  <si>
    <t>ฝ่าย</t>
  </si>
  <si>
    <t>ไม่กำหนด 4</t>
  </si>
  <si>
    <t>ไม่กำหนด 5</t>
  </si>
  <si>
    <t>ไม่กำหนด 6</t>
  </si>
  <si>
    <t>ระดับ</t>
  </si>
  <si>
    <t>ตำแหน่ง</t>
  </si>
  <si>
    <t>ประเภทการจ่ายค่าจ้าง</t>
  </si>
  <si>
    <t>บัญชีธนาคาร</t>
  </si>
  <si>
    <t>เลขบัญชี</t>
  </si>
  <si>
    <t>วิธีชำระเงิน</t>
  </si>
  <si>
    <t>วันจ่ายเงิน</t>
  </si>
  <si>
    <t>ฐานเงินเดือน</t>
  </si>
  <si>
    <t>จำนวนวันทำงาน</t>
  </si>
  <si>
    <t>เงินเดือนต่องวด</t>
  </si>
  <si>
    <t>วันทำงาน (ชม.)</t>
  </si>
  <si>
    <t>วันทำงาน (บาท)</t>
  </si>
  <si>
    <t>ในกะวันหยุด (ชม.)</t>
  </si>
  <si>
    <t>ในกะวันหยุด (บาท)</t>
  </si>
  <si>
    <t>นอกกะวันหยุด (ชม.)</t>
  </si>
  <si>
    <t>นอกกะวันหยุด (บาท)</t>
  </si>
  <si>
    <t>แบบเหมา (ชม.)</t>
  </si>
  <si>
    <t>แบบเหมา (บาท)</t>
  </si>
  <si>
    <t>รวม (ชม.)</t>
  </si>
  <si>
    <t>รวม (บาท)</t>
  </si>
  <si>
    <t>ค่าเบี้ยขยัน (บาท)</t>
  </si>
  <si>
    <t>รับเบี้ยขยันติดต่อกัน (เดือน)</t>
  </si>
  <si>
    <t>โบนัสเบี้ยขยัน (บาท)</t>
  </si>
  <si>
    <t>ชดเชยวันลา (บาท)</t>
  </si>
  <si>
    <t>คืนสิทธิ์วันลา (วัน)</t>
  </si>
  <si>
    <t>เงินชดเชยทรัพย์สิน</t>
  </si>
  <si>
    <t>ค่าคอมมิชชั่น</t>
  </si>
  <si>
    <t>ค่าตอบแทนพิเศษ</t>
  </si>
  <si>
    <t>วันเกิด</t>
  </si>
  <si>
    <t>เบี้ยเลี้ยง</t>
  </si>
  <si>
    <t>โบนัส</t>
  </si>
  <si>
    <t>เงินได้อื่นๆ</t>
  </si>
  <si>
    <t>เบิกเงินล่วงหน้า</t>
  </si>
  <si>
    <t>เงินกู้ยืมบริษัท</t>
  </si>
  <si>
    <t>ภาษีหัก ณ ที่จ่าย</t>
  </si>
  <si>
    <t>เงินกู้ กยศ.</t>
  </si>
  <si>
    <t>เงินหักอื่นๆ</t>
  </si>
  <si>
    <t>ภาษี 40(8)</t>
  </si>
  <si>
    <t>พักงาน (วัน)</t>
  </si>
  <si>
    <t>พักงาน (บาท)</t>
  </si>
  <si>
    <t>ขาดงาน (วัน)</t>
  </si>
  <si>
    <t>ขาดงาน (นาที)</t>
  </si>
  <si>
    <t>จำนวนขาดงาน (ครั้ง)</t>
  </si>
  <si>
    <t>จำนวนไม่ทาบบัตร (ครั้ง)</t>
  </si>
  <si>
    <t>หักขาดงาน/ไม่ทาบบัตร (บาท)</t>
  </si>
  <si>
    <t>สาย (นาที)</t>
  </si>
  <si>
    <t>กลับก่อน (นาที)</t>
  </si>
  <si>
    <t>จำนวนสาย (ครั้ง)</t>
  </si>
  <si>
    <t>จำนวนกลับก่อน (ครั้ง)</t>
  </si>
  <si>
    <t>หักมาสาย/กลับก่อน (บาท)</t>
  </si>
  <si>
    <t>ลาไม่รับค่าจ้าง (วัน)</t>
  </si>
  <si>
    <t>ลาไม่รับค่าจ้าง (ชม.)</t>
  </si>
  <si>
    <t>หักลาไม่รับค่าจ้าง (บาท)</t>
  </si>
  <si>
    <t>นาทีสายพักเที่ยง (นาที)</t>
  </si>
  <si>
    <t>ไม่ทาบเข้า/ออกพักเที่ยง (ครั้ง)</t>
  </si>
  <si>
    <t>ไม่บันทึกเวลาพักเที่ยง (ครั้ง)</t>
  </si>
  <si>
    <t>หักพักเที่ยง (บาท)</t>
  </si>
  <si>
    <t>หักชดเชยวันลา (บาท)</t>
  </si>
  <si>
    <t>หักคืนสิทธิ์วันลา (วัน)</t>
  </si>
  <si>
    <t>ประกันสังคมลูกจ้าง (บาท)</t>
  </si>
  <si>
    <t>ประกันสังคมนายจ้าง (บาท)</t>
  </si>
  <si>
    <t>กองทุนพนักงาน (%)</t>
  </si>
  <si>
    <t>กองทุนบริษัท (%)</t>
  </si>
  <si>
    <t>กองทุนพนักงาน (บาท)</t>
  </si>
  <si>
    <t>กองทุนบริษัท (บาท)</t>
  </si>
  <si>
    <t>รายรับทั้งหมด (บาท)</t>
  </si>
  <si>
    <t>รายหักทั้งหมด (บาท)</t>
  </si>
  <si>
    <t>รายได้สุทธิ (บาท)</t>
  </si>
  <si>
    <t>BASE SSO</t>
  </si>
  <si>
    <t>CAL SSO</t>
  </si>
  <si>
    <t>CHECK</t>
  </si>
  <si>
    <t>BASE TAX</t>
  </si>
  <si>
    <t>TAX</t>
  </si>
  <si>
    <t>00001</t>
  </si>
  <si>
    <t>01/03/2545</t>
  </si>
  <si>
    <t>-</t>
  </si>
  <si>
    <t>ประจำ</t>
  </si>
  <si>
    <t>สำนักงานใหญ่</t>
  </si>
  <si>
    <t>บริหารธุรกิจ</t>
  </si>
  <si>
    <t/>
  </si>
  <si>
    <t>C-Level</t>
  </si>
  <si>
    <t>กรรมการผู้จัดการ</t>
  </si>
  <si>
    <t>รายเดือน</t>
  </si>
  <si>
    <t>ธนาคารไทยพาณิชย์</t>
  </si>
  <si>
    <t>ธนาคาร</t>
  </si>
  <si>
    <t>01/07/2569</t>
  </si>
  <si>
    <t>00002</t>
  </si>
  <si>
    <t>04/01/2549</t>
  </si>
  <si>
    <t>ขาย</t>
  </si>
  <si>
    <t>ผู้บริหารการเปลี่ยนแปลง</t>
  </si>
  <si>
    <t>00004</t>
  </si>
  <si>
    <t>17/09/2550</t>
  </si>
  <si>
    <t>ปฏิบัติการด้านข้อมูล</t>
  </si>
  <si>
    <t>ข้อมูล</t>
  </si>
  <si>
    <t>O3</t>
  </si>
  <si>
    <t>รองผู้จัดการแผนกปฏิบัติการ</t>
  </si>
  <si>
    <t>00005</t>
  </si>
  <si>
    <t>01/12/2550</t>
  </si>
  <si>
    <t>ผู้บริหารฝ่ายปฏิบัติการ</t>
  </si>
  <si>
    <t>00006</t>
  </si>
  <si>
    <t>01/05/2562</t>
  </si>
  <si>
    <t>ขายด้านอุตสาหกรรม</t>
  </si>
  <si>
    <t>M</t>
  </si>
  <si>
    <t>ผู้จัดการฝ่ายขาย</t>
  </si>
  <si>
    <t>00011</t>
  </si>
  <si>
    <t>07/02/2556</t>
  </si>
  <si>
    <t>ผู้ช่วยผู้จัดการฝ่ายบริการลูกค้า</t>
  </si>
  <si>
    <t>00013</t>
  </si>
  <si>
    <t>03/06/2556</t>
  </si>
  <si>
    <t>00018</t>
  </si>
  <si>
    <t>22/09/2557</t>
  </si>
  <si>
    <t>พัฒนาธุรกิจ</t>
  </si>
  <si>
    <t>Business Intelligence</t>
  </si>
  <si>
    <t>หัวหน้างานฝ่ายปฏิบัติการดิจิทัล</t>
  </si>
  <si>
    <t>00021</t>
  </si>
  <si>
    <t>05/01/2558</t>
  </si>
  <si>
    <t>การตลาดผ่านทางโทรศัพท์</t>
  </si>
  <si>
    <t>O1</t>
  </si>
  <si>
    <t>เจ้าหน้าที่ฝ่ายการตลาดทางโทรศัพท์</t>
  </si>
  <si>
    <t>00024</t>
  </si>
  <si>
    <t>03/06/2558</t>
  </si>
  <si>
    <t>00027</t>
  </si>
  <si>
    <t>18/01/2559</t>
  </si>
  <si>
    <t>การผลิตสื่อ</t>
  </si>
  <si>
    <t>ออกแบบกราฟิก</t>
  </si>
  <si>
    <t>ผู้กำกับศิลป์</t>
  </si>
  <si>
    <t>00029</t>
  </si>
  <si>
    <t>21/03/2559</t>
  </si>
  <si>
    <t>เจ้าหน้าที่ออกแบบกราฟิก</t>
  </si>
  <si>
    <t>00044</t>
  </si>
  <si>
    <t>13/03/2560</t>
  </si>
  <si>
    <t>Supersource</t>
  </si>
  <si>
    <t>เจ้าหน้าที่บริหารผลิตภัณฑ์</t>
  </si>
  <si>
    <t>00058</t>
  </si>
  <si>
    <t>13/11/2560</t>
  </si>
  <si>
    <t>บรรณาธิการ</t>
  </si>
  <si>
    <t>O2</t>
  </si>
  <si>
    <t>บรรณาธิการอาวุโส</t>
  </si>
  <si>
    <t>00059</t>
  </si>
  <si>
    <t>06/12/2560</t>
  </si>
  <si>
    <t>00070</t>
  </si>
  <si>
    <t>01/08/2561</t>
  </si>
  <si>
    <t>00081</t>
  </si>
  <si>
    <t>06/09/2564</t>
  </si>
  <si>
    <t>00090</t>
  </si>
  <si>
    <t>01/04/2562</t>
  </si>
  <si>
    <t>Event</t>
  </si>
  <si>
    <t>ผู้จัดการงานอีเวนต์</t>
  </si>
  <si>
    <t>00102</t>
  </si>
  <si>
    <t>19/08/2562</t>
  </si>
  <si>
    <t>ประชาสัมพันธ์การตลาด</t>
  </si>
  <si>
    <t>เจ้าหน้าที่ประชาสัมพันธ์</t>
  </si>
  <si>
    <t>00114</t>
  </si>
  <si>
    <t>21/05/2564</t>
  </si>
  <si>
    <t>00116</t>
  </si>
  <si>
    <t>16/03/2563</t>
  </si>
  <si>
    <t>00220</t>
  </si>
  <si>
    <t>05/01/2566</t>
  </si>
  <si>
    <t>บัญชี</t>
  </si>
  <si>
    <t>เจ้าหน้าที่บัญชีลูกหนี้</t>
  </si>
  <si>
    <t>00224</t>
  </si>
  <si>
    <t>26/06/2566</t>
  </si>
  <si>
    <t>เจ้าหน้าที่ฝ่ายอีเวนต์</t>
  </si>
  <si>
    <t>00233</t>
  </si>
  <si>
    <t>15/07/2567</t>
  </si>
  <si>
    <t>01/06/2569</t>
  </si>
  <si>
    <t>00235</t>
  </si>
  <si>
    <t>23/07/2567</t>
  </si>
  <si>
    <t>00236</t>
  </si>
  <si>
    <t>02/09/2567</t>
  </si>
  <si>
    <t>00237</t>
  </si>
  <si>
    <t>01/11/2567</t>
  </si>
  <si>
    <t>เจ้าหน้าที่คอนเทนต์อาวุโส</t>
  </si>
  <si>
    <t>00245</t>
  </si>
  <si>
    <t>05/05/2568</t>
  </si>
  <si>
    <t>00251</t>
  </si>
  <si>
    <t>16/06/2568</t>
  </si>
  <si>
    <t>เจ้าหน้าที่บัญชี</t>
  </si>
  <si>
    <t>00255</t>
  </si>
  <si>
    <t>14/10/2568</t>
  </si>
  <si>
    <t>ขายด้านงานโครงการ</t>
  </si>
  <si>
    <t>ผู้จัดการโครงการบริหารการขาย</t>
  </si>
  <si>
    <t>00256</t>
  </si>
  <si>
    <t>03/11/2568</t>
  </si>
  <si>
    <t>00259</t>
  </si>
  <si>
    <t>01/04/2569</t>
  </si>
  <si>
    <t>00260</t>
  </si>
  <si>
    <t>พลอยทับทิม ทับทิมทอง</t>
  </si>
  <si>
    <t>02/06/2569</t>
  </si>
  <si>
    <t>15/06/2569</t>
  </si>
  <si>
    <t>ทรัพยากรบุคคลและธุรการ</t>
  </si>
  <si>
    <t>หัวหน้างานทรัพยากรบุคคลและธุรการ</t>
  </si>
  <si>
    <t>0</t>
  </si>
  <si>
    <t>Total</t>
  </si>
  <si>
    <t>รวม</t>
  </si>
  <si>
    <t>T</t>
  </si>
  <si>
    <t>P</t>
  </si>
  <si>
    <t>A</t>
  </si>
  <si>
    <t>N</t>
  </si>
  <si>
    <t>V</t>
  </si>
  <si>
    <t>W</t>
  </si>
  <si>
    <t>S</t>
  </si>
  <si>
    <t>O</t>
  </si>
  <si>
    <t>Q</t>
  </si>
  <si>
    <t>Z</t>
  </si>
  <si>
    <t>U</t>
  </si>
  <si>
    <t>C</t>
  </si>
  <si>
    <t>X</t>
  </si>
  <si>
    <t>B</t>
  </si>
  <si>
    <t>K</t>
  </si>
  <si>
    <t>L</t>
  </si>
  <si>
    <t>H</t>
  </si>
  <si>
    <t>G</t>
  </si>
  <si>
    <t>F</t>
  </si>
  <si>
    <t>I</t>
  </si>
  <si>
    <t>Y</t>
  </si>
  <si>
    <t>E</t>
  </si>
  <si>
    <t>ม</t>
  </si>
  <si>
    <t>บ</t>
  </si>
  <si>
    <t>พ</t>
  </si>
  <si>
    <t xml:space="preserve">ช </t>
  </si>
  <si>
    <t>น</t>
  </si>
  <si>
    <t>7460574</t>
  </si>
  <si>
    <t>4381653</t>
  </si>
  <si>
    <t>5674931</t>
  </si>
  <si>
    <t>5647382</t>
  </si>
  <si>
    <t>4867382</t>
  </si>
  <si>
    <t>3575843</t>
  </si>
  <si>
    <t>7465743</t>
  </si>
  <si>
    <t>5647392</t>
  </si>
  <si>
    <t>4757684</t>
  </si>
  <si>
    <t>4576473</t>
  </si>
  <si>
    <t>8765943</t>
  </si>
  <si>
    <t>4656373</t>
  </si>
  <si>
    <t>4756473</t>
  </si>
  <si>
    <t>8346574</t>
  </si>
  <si>
    <t>4838364</t>
  </si>
  <si>
    <t>9304846</t>
  </si>
  <si>
    <t>8364654</t>
  </si>
  <si>
    <t>1374756</t>
  </si>
  <si>
    <t>4837465</t>
  </si>
  <si>
    <t>3829384</t>
  </si>
  <si>
    <t>4756431</t>
  </si>
  <si>
    <t>3729384</t>
  </si>
  <si>
    <t>4857463</t>
  </si>
  <si>
    <t>3819374</t>
  </si>
  <si>
    <t>4839173</t>
  </si>
  <si>
    <t>3847465</t>
  </si>
  <si>
    <t>8475648</t>
  </si>
  <si>
    <t>3847564</t>
  </si>
  <si>
    <t>3948103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</si>
</sst>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EFD5"/>
      </patternFill>
    </fill>
    <fill>
      <patternFill patternType="solid">
        <fgColor rgb="FF98FB98"/>
      </patternFill>
    </fill>
    <fill>
      <patternFill patternType="solid">
        <fgColor rgb="FFFA8072"/>
      </patternFill>
    </fill>
    <fill>
      <patternFill patternType="solid">
        <fgColor rgb="FFF4A460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5F5DC"/>
      </patternFill>
    </fill>
    <fill>
      <patternFill patternType="solid">
        <fgColor rgb="FFFFC0CB"/>
      </patternFill>
    </fill>
    <fill>
      <patternFill patternType="solid">
        <fgColor rgb="FFEEE8A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6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5" borderId="1" xfId="1" applyFont="1" applyFill="1" applyBorder="1" applyAlignment="1">
      <alignment horizontal="center"/>
    </xf>
    <xf numFmtId="0" fontId="2" fillId="7" borderId="0" xfId="1" applyFont="1" applyFill="1" applyAlignment="1">
      <alignment horizontal="center"/>
    </xf>
    <xf numFmtId="0" fontId="2" fillId="6" borderId="0" xfId="1" applyFont="1" applyFill="1" applyAlignment="1">
      <alignment horizontal="center"/>
    </xf>
    <xf numFmtId="4" fontId="1" fillId="8" borderId="0" xfId="1" applyNumberFormat="1" applyFill="1"/>
    <xf numFmtId="4" fontId="3" fillId="8" borderId="0" xfId="1" applyNumberFormat="1" applyFont="1" applyFill="1"/>
    <xf numFmtId="4" fontId="1" fillId="9" borderId="0" xfId="1" applyNumberFormat="1" applyFill="1"/>
    <xf numFmtId="4" fontId="3" fillId="9" borderId="0" xfId="1" applyNumberFormat="1" applyFont="1" applyFill="1"/>
    <xf numFmtId="4" fontId="1" fillId="0" borderId="0" xfId="1" applyNumberFormat="1"/>
    <xf numFmtId="0" fontId="2" fillId="0" borderId="0" xfId="1" applyFont="1"/>
    <xf numFmtId="0" fontId="2" fillId="10" borderId="0" xfId="1" applyFont="1" applyFill="1"/>
    <xf numFmtId="4" fontId="2" fillId="10" borderId="0" xfId="1" applyNumberFormat="1" applyFont="1" applyFill="1"/>
    <xf numFmtId="4" fontId="1" fillId="7" borderId="0" xfId="1" applyNumberFormat="1" applyFill="1"/>
    <xf numFmtId="4" fontId="1" fillId="6" borderId="0" xfId="1" applyNumberFormat="1" applyFill="1"/>
    <xf numFmtId="49" fontId="1" fillId="0" borderId="0" xfId="1" applyNumberFormat="1"/>
  </cellXfs>
  <cellStyles count="2">
    <cellStyle name="Normal" xfId="0" builtinId="0"/>
    <cellStyle name="Normal 2" xfId="1" xr:uid="{4A2ADDAA-D2D4-2043-866F-8BB2E2FC9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IEN2/C/WINDOWS/TEMP/3533/99Q/99Q3657/99Q3299(REV.1).xls" TargetMode="External"/><Relationship Id="rId1" Type="http://schemas.openxmlformats.org/officeDocument/2006/relationships/externalLinkPath" Target="/DIEN2/C/WINDOWS/TEMP/3533/99Q/99Q3657/99Q3299(REV.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Ke%20Hoach/HUONG/KKTHUE0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fivegroup.sharepoint.com/sites/PayrollOutsourcing/Shared%20Documents/General/2026/2026%20Payroll%20Outsourcing/&#3610;&#3619;&#3636;&#3625;&#3633;&#3607;%20&#3592;&#3637;&#3648;&#3629;&#3655;&#3617;&#3607;&#3637;&#3648;&#3629;&#3655;&#3585;&#3595;&#3660;%20&#3592;&#3635;&#3585;&#3633;&#3604;/6/3.%20Check/Check_GMTX_06_2026.xlsx" TargetMode="External"/><Relationship Id="rId1" Type="http://schemas.openxmlformats.org/officeDocument/2006/relationships/externalLinkPath" Target="https://gofivegroup.sharepoint.com/sites/PayrollOutsourcing/Shared%20Documents/General/2026/2026%20Payroll%20Outsourcing/&#3610;&#3619;&#3636;&#3625;&#3633;&#3607;%20&#3592;&#3637;&#3648;&#3629;&#3655;&#3617;&#3607;&#3637;&#3648;&#3629;&#3655;&#3585;&#3595;&#3660;%20&#3592;&#3635;&#3585;&#3633;&#3604;/6/3.%20Check/Check_GMTX_06_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TCP-LI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Thanhvinh/dutoan/May1/KIEN/QL32/DT32.xls" TargetMode="External"/><Relationship Id="rId1" Type="http://schemas.openxmlformats.org/officeDocument/2006/relationships/externalLinkPath" Target="/Thanhvinh/dutoan/May1/KIEN/QL32/DT3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TKKT-98-106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ghia/c/Nghia-du%20toan/C&#199;u%20Khe%20Ch&#209;t.xls" TargetMode="External"/><Relationship Id="rId1" Type="http://schemas.openxmlformats.org/officeDocument/2006/relationships/externalLinkPath" Target="/Nghia/c/Nghia-du%20toan/C&#199;u%20Khe%20Ch&#209;t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IEN2/C/DOCUMENT/DAUTHAU/Dungquat/GOI3/DUNGQUAT-6.xls" TargetMode="External"/><Relationship Id="rId1" Type="http://schemas.openxmlformats.org/officeDocument/2006/relationships/externalLinkPath" Target="/DIEN2/C/DOCUMENT/DAUTHAU/Dungquat/GOI3/DUNGQUAT-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BusinessGroup_2000/58_AH_20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42_CH_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/EMILYUEN/LVHK/Revison/BRS%20Revision%201%20-%20Retail+Wholesale%20V2-lvhk-2-20apr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IEN2/C/WINDOWS/TEMP/3533/99Q/99Q3657/99Q3299(REV.0).xls" TargetMode="External"/><Relationship Id="rId1" Type="http://schemas.openxmlformats.org/officeDocument/2006/relationships/externalLinkPath" Target="/DIEN2/C/WINDOWS/TEMP/3533/99Q/99Q3657/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INNT4-S1/LVSGP/Budget-2000/Bud00-1/Bud00-1-JAP.xls" TargetMode="External"/><Relationship Id="rId1" Type="http://schemas.openxmlformats.org/officeDocument/2006/relationships/externalLinkPath" Target="/SINNT4-S1/LVSGP/Budget-2000/Bud00-1/Bud00-1-JA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Nittaya/Absent%20record%20VES%202011/&#3626;&#3635;&#3648;&#3609;&#3634;&#3586;&#3629;&#3591;%202011%20Leav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-THL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MGT-DRT/MGT-IMPR/MGT-SC@/BA0397/INSULT'N/INS/ASK/PIPE-03E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ghia/c/THUY/NAM%202003/(da%20sua%201.13).xls" TargetMode="External"/><Relationship Id="rId1" Type="http://schemas.openxmlformats.org/officeDocument/2006/relationships/externalLinkPath" Target="/Nghia/c/THUY/NAM%202003/(da%20sua%201.1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Documents%20and%20Settings/taswm/Local%20Settings/Temporary%20Internet%20Files/Content.IE5/23APINCX/Payroll%20POS/Individual%20Report%20M03-J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UTRO5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Ke%20Hoach/PH99/BACNAM/TKKT/DTOAN/dtk486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IEN2/C/WINDOWS/TEMP/3533/96Q/96q2588/PANEL.XLS" TargetMode="External"/><Relationship Id="rId1" Type="http://schemas.openxmlformats.org/officeDocument/2006/relationships/externalLinkPath" Target="/DIEN2/C/WINDOWS/TEMP/3533/96Q/96q2588/PANEL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Thanhvinh/dutoan/May1/KIEN/QL32/DT-TN.xls" TargetMode="External"/><Relationship Id="rId1" Type="http://schemas.openxmlformats.org/officeDocument/2006/relationships/externalLinkPath" Target="/Thanhvinh/dutoan/May1/KIEN/QL32/DT-TN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TH-FS01/Data/Users/PhyuThant.Sin/OneDrive%20-%20Unilever/Phyu%20Thant%20Sin/PTS/Tax_UML/Tax%20Exemption%20Tracker_UMM.xlsx" TargetMode="External"/><Relationship Id="rId1" Type="http://schemas.openxmlformats.org/officeDocument/2006/relationships/externalLinkPath" Target="/TH-FS01/Data/Users/PhyuThant.Sin/OneDrive%20-%20Unilever/Phyu%20Thant%20Sin/PTS/Tax_UML/Tax%20Exemption%20Tracker_UMM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192.168.99.11/home/sirikanya/&#3591;&#3634;&#3609;&#3610;&#3640;&#3588;&#3588;&#3621;/&#3585;&#3629;&#3591;&#3607;&#3640;&#3609;%20&#3585;&#3618;&#3624;/&#3607;&#3632;&#3648;&#3610;&#3637;&#3618;&#3609;&#3619;&#3634;&#3618;&#3585;&#3634;&#3619;&#3609;&#3635;&#3626;&#3656;&#3591;&#3648;&#3591;&#3636;&#3609;&#3585;&#3629;&#3591;&#3607;&#3640;&#3609;66.xlsx" TargetMode="External"/><Relationship Id="rId2" Type="http://schemas.openxmlformats.org/officeDocument/2006/relationships/externalLinkPath" Target="/192.168.99.11/home/sirikanya/&#3591;&#3634;&#3609;&#3610;&#3640;&#3588;&#3588;&#3621;/&#3585;&#3629;&#3591;&#3607;&#3640;&#3609;%20&#3585;&#3618;&#3624;/&#3607;&#3632;&#3648;&#3610;&#3637;&#3618;&#3609;&#3619;&#3634;&#3618;&#3585;&#3634;&#3619;&#3609;&#3635;&#3626;&#3656;&#3591;&#3648;&#3591;&#3636;&#3609;&#3585;&#3629;&#3591;&#3607;&#3640;&#3609;66.xlsx" TargetMode="External"/><Relationship Id="rId1" Type="http://schemas.openxmlformats.org/officeDocument/2006/relationships/externalLinkPath" Target="/192.168.99.11/home/sirikanya/&#3591;&#3634;&#3609;&#3610;&#3640;&#3588;&#3588;&#3621;/&#3585;&#3629;&#3591;&#3607;&#3640;&#3609;%20&#3585;&#3618;&#3624;/&#3607;&#3632;&#3648;&#3610;&#3637;&#3618;&#3609;&#3619;&#3634;&#3618;&#3585;&#3634;&#3619;&#3609;&#3635;&#3626;&#3656;&#3591;&#3648;&#3591;&#3636;&#3609;&#3585;&#3629;&#3591;&#3607;&#3640;&#3609;66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Khoiluong_TKKT(new)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INNT4-S1/LVSGP/aq-xclfi/Flash9903/Stocks-Conso03.xls" TargetMode="External"/><Relationship Id="rId1" Type="http://schemas.openxmlformats.org/officeDocument/2006/relationships/externalLinkPath" Target="/SINNT4-S1/LVSGP/aq-xclfi/Flash9903/Stocks-Conso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HR/HR_Salary/BCAP/Bill%20Payment/&#3652;&#3595;&#3617;&#3636;&#3626;/60319_&#3610;&#3619;&#3636;&#3625;&#3633;&#3607;%20&#3652;&#3595;&#3617;&#3636;&#3626;%20&#3626;&#3640;&#3586;&#3640;&#3617;&#3623;&#3636;&#3607;%20&#3592;&#3635;&#3585;&#3633;&#3604;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zim365-my.sharepoint.com/Confidential%20Folders/2013/SOP/Christian%20Dior%20(Thailand)%20Limited/Report/4%20FS%20&amp;%20Detail/Adhoc/TH_APCBF_0513_2465TH39528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WINDOWS/TEMP/IBASE2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IEN2/C/CS3408/Standard/RPT.xls" TargetMode="External"/><Relationship Id="rId1" Type="http://schemas.openxmlformats.org/officeDocument/2006/relationships/externalLinkPath" Target="/DIEN2/C/CS3408/Standard/RPT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Thanhvinh/dutoan/unzipped/SOKT-Q3CT/SOKT-Q3CT.xls" TargetMode="External"/><Relationship Id="rId1" Type="http://schemas.openxmlformats.org/officeDocument/2006/relationships/externalLinkPath" Target="/Thanhvinh/dutoan/unzipped/SOKT-Q3CT/SOKT-Q3C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KHOA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Q3-01-duyet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Thanhvinh/dutoan/Luu%20o%20D%20old/Dutoan/Binh%20Phuoc/BCNCKT13_S3.xls" TargetMode="External"/><Relationship Id="rId1" Type="http://schemas.openxmlformats.org/officeDocument/2006/relationships/externalLinkPath" Target="/Thanhvinh/dutoan/Luu%20o%20D%20old/Dutoan/Binh%20Phuoc/BCNCKT13_S3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ungnd/dutoan/DUTOAN/Dieutri/CAUTAM-1.xls" TargetMode="External"/><Relationship Id="rId1" Type="http://schemas.openxmlformats.org/officeDocument/2006/relationships/externalLinkPath" Target="/Hungnd/dutoan/DUTOAN/Dieutri/CAUTAM-1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Thanhvinh/dutoan/HaiDuong/BCNCKT-HopThanh1.xls" TargetMode="External"/><Relationship Id="rId1" Type="http://schemas.openxmlformats.org/officeDocument/2006/relationships/externalLinkPath" Target="/Thanhvinh/dutoan/HaiDuong/BCNCKT-HopThanh1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ungnd/dutoan-v/DUTOAN/Qnam/CauGiapBa/TKKT-Giapba.xls" TargetMode="External"/><Relationship Id="rId1" Type="http://schemas.openxmlformats.org/officeDocument/2006/relationships/externalLinkPath" Target="/Hungnd/dutoan-v/DUTOAN/Qnam/CauGiapBa/TKKT-Giapb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chi tiet "/>
      <sheetName val="chi tiet huong"/>
      <sheetName val="TH"/>
      <sheetName val="TH (2)"/>
      <sheetName val="XL4Poppy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KT Cap phoi"/>
      <sheetName val="btnhtrung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XXXXXXXX"/>
      <sheetName val="CPV"/>
      <sheetName val="DGCM"/>
      <sheetName val="TL-I"/>
      <sheetName val="chitiet"/>
      <sheetName val="THG"/>
      <sheetName val="kl"/>
      <sheetName val="KHQ II"/>
      <sheetName val="Gia VL"/>
      <sheetName val="Bang gia ca may"/>
      <sheetName val="Bang luong CB"/>
      <sheetName val="Bang P.tich CT"/>
      <sheetName val="D.toan chi tiet"/>
      <sheetName val="Bang TH Dtoan"/>
      <sheetName val="nhap"/>
      <sheetName val="TL3-2002"/>
      <sheetName val="9015"/>
      <sheetName val="0502"/>
      <sheetName val="2213"/>
      <sheetName val="7270"/>
      <sheetName val="8672"/>
      <sheetName val="3027"/>
      <sheetName val="3810"/>
      <sheetName val="8523"/>
      <sheetName val="MAU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VENDOR-QUKTES"/>
      <sheetName val="HR SWGR &amp; MCC"/>
      <sheetName val="Congty"/>
      <sheetName val="VPPN"/>
      <sheetName val="XN74"/>
      <sheetName val="XN54"/>
      <sheetName val="XN33"/>
      <sheetName val="NK96"/>
      <sheetName val="XL4Test5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DC1605"/>
      <sheetName val="DcnamTV"/>
      <sheetName val="ppnamdaibieu"/>
      <sheetName val="TyleAdreyanop"/>
      <sheetName val="ppAdreyanop"/>
      <sheetName val="ketqua"/>
      <sheetName val="maxminth"/>
      <sheetName val="ᄀ_x0000__x0000_䅀ᄀ_x0000__x0000_䅀ᄀ_x0000__x0000_䅀ᄀ_x0000__x0000_䅀ᄀ_x0000__x0000_䅀_x0000_䅀ᘀŀ_x0000_䅀ᘀŀ_x0000_䅀ᘀ"/>
      <sheetName val="5 nam (tach)"/>
      <sheetName val="5 nam (tach) (2)"/>
      <sheetName val="KH 2003"/>
      <sheetName val="10000000"/>
      <sheetName val="20000000"/>
      <sheetName val="tong hop"/>
      <sheetName val="phan tich DG"/>
      <sheetName val="gia vat lieu"/>
      <sheetName val="gia xe may"/>
      <sheetName val="gia nhan c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KHAI"/>
      <sheetName val="5%"/>
      <sheetName val="10%"/>
      <sheetName val="Sheet1"/>
      <sheetName val="XL4Popp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งวดเงินเดือน"/>
      <sheetName val="New Employee"/>
      <sheetName val="Resign"/>
      <sheetName val="ChangeInfo"/>
      <sheetName val="PVF"/>
      <sheetName val="Income - Deduct"/>
      <sheetName val="ตรวจสอบเงินเดือน (ประจำเดือน)"/>
      <sheetName val="เปรียบเทียบตามรายการ"/>
      <sheetName val="รอ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n-do"/>
      <sheetName val="T.toan"/>
      <sheetName val="EIRR"/>
      <sheetName val="Cp&gt;20"/>
      <sheetName val="EIRR&gt; 2"/>
      <sheetName val="Ln&lt;10"/>
      <sheetName val="EIRR&lt; 1"/>
      <sheetName val="Ln&lt;20"/>
      <sheetName val="EIRR&lt;2"/>
      <sheetName val="Cp&gt;10-Ln&lt;10"/>
      <sheetName val="EIRR&gt;1&lt;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D"/>
      <sheetName val="TN"/>
      <sheetName val="THN"/>
      <sheetName val="CAMAY"/>
      <sheetName val="VL"/>
      <sheetName val="NHANCONGduong"/>
      <sheetName val="Nhan cong cong"/>
      <sheetName val="VUA"/>
      <sheetName val="HSO"/>
      <sheetName val="Phatsinh"/>
      <sheetName val="KHTT"/>
      <sheetName val="00000000"/>
      <sheetName val="10000000"/>
      <sheetName val="20000000"/>
      <sheetName val="30000000"/>
      <sheetName val="XL4Poppy"/>
      <sheetName val="XL4Poppy (2)"/>
      <sheetName val="NHALCONGduong"/>
      <sheetName val="Congty"/>
      <sheetName val="VPPN"/>
      <sheetName val="XN74"/>
      <sheetName val="XN54"/>
      <sheetName val="XN33"/>
      <sheetName val="NK96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KluongKm2,4"/>
      <sheetName val="B.cao"/>
      <sheetName val="T.tiet"/>
      <sheetName val="T.N"/>
      <sheetName val="00000000"/>
      <sheetName val="YEU TO CONG"/>
      <sheetName val="TD 3DIEM"/>
      <sheetName val="TD 2DIEM"/>
      <sheetName val="XL4Test5"/>
      <sheetName val="THKL"/>
      <sheetName val="DPHOIDAT"/>
      <sheetName val="BGVL_03"/>
      <sheetName val="CPVUA_03"/>
      <sheetName val="DGCT_03"/>
      <sheetName val="DT1_03"/>
      <sheetName val="BGVL"/>
      <sheetName val="CPVUA"/>
      <sheetName val="DGCT_02"/>
      <sheetName val="DGCONG_02"/>
      <sheetName val="DGKE_02"/>
      <sheetName val="CTCONG_02"/>
      <sheetName val="DT1_02"/>
      <sheetName val="DTCT_02 _2595"/>
      <sheetName val="DTCT_02"/>
      <sheetName val="00000001"/>
      <sheetName val="00000002"/>
      <sheetName val="UNIT"/>
      <sheetName val="Piers of Main Flyover (1)"/>
      <sheetName val="Cot Tru1"/>
      <sheetName val="P3-TanAn-Factored"/>
      <sheetName val="P4-TanAn-Factored"/>
      <sheetName val="COC KHOAN M1"/>
      <sheetName val="COC KHOAN M2"/>
      <sheetName val="COC KHOAN T1"/>
      <sheetName val="COC KHOAN T5"/>
      <sheetName val="COC KHOAN T4"/>
      <sheetName val="COC DONG"/>
      <sheetName val="BANG"/>
      <sheetName val="TSCD DUNG CHUNG "/>
      <sheetName val="KHKHAUHAOTSCHUNG"/>
      <sheetName val="TSCDTOAN NHA MAY"/>
      <sheetName val="CPSXTOAN BO SP"/>
      <sheetName val="PBCPCHUNG CHO CAC DTUONG"/>
      <sheetName val="Congty"/>
      <sheetName val="VPPN"/>
      <sheetName val="XN74"/>
      <sheetName val="XN54"/>
      <sheetName val="XN33"/>
      <sheetName val="NK96"/>
      <sheetName val="Sheet2"/>
      <sheetName val="dn"/>
      <sheetName val="DU TOAN"/>
      <sheetName val="CHI TIET"/>
      <sheetName val="KLnt"/>
      <sheetName val="PHAN TICH"/>
      <sheetName val="Sheet1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TXL"/>
      <sheetName val="XL"/>
      <sheetName val="PTCT"/>
      <sheetName val="FT"/>
      <sheetName val="VL"/>
      <sheetName val="VL (2)"/>
      <sheetName val="Khe Chet"/>
      <sheetName val="A6"/>
      <sheetName val="XXXXXXXX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NC10"/>
      <sheetName val="VL10"/>
      <sheetName val="CFmay10"/>
      <sheetName val="627(10)"/>
      <sheetName val="Sheet1"/>
      <sheetName val="Sheet2"/>
      <sheetName val="Sheet3"/>
      <sheetName val="Sheet4"/>
      <sheetName val="Sheet5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Bang gia ca may"/>
      <sheetName val="Bang luong CB"/>
      <sheetName val="Bang P.tich CT"/>
      <sheetName val="D.toan chi tiet"/>
      <sheetName val="Bang TH Dtoan"/>
      <sheetName val="XXXXXXXX"/>
      <sheetName val="KL DUONG DC L = 90m"/>
      <sheetName val="T1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Sua (2)"/>
      <sheetName val="Sua"/>
      <sheetName val="DGKSDA"/>
      <sheetName val="TH_BVTC"/>
      <sheetName val="BVTC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1"/>
      <sheetName val="App4"/>
      <sheetName val="5820"/>
      <sheetName val="5830"/>
      <sheetName val="5860"/>
      <sheetName val="5870"/>
      <sheetName val="5880"/>
      <sheetName val="App6 CC6"/>
      <sheetName val="App6 CC7"/>
      <sheetName val="App6 CC8"/>
      <sheetName val="App6 CC9"/>
      <sheetName val="App6 CC10"/>
      <sheetName val="App3"/>
      <sheetName val="App2"/>
      <sheetName val="12"/>
      <sheetName val="17"/>
      <sheetName val="19"/>
      <sheetName val="BU4"/>
      <sheetName val="BU5"/>
      <sheetName val="BU6"/>
      <sheetName val="BU7"/>
      <sheetName val="BU8"/>
      <sheetName val="App7.1"/>
      <sheetName val="App8"/>
      <sheetName val="App8.1"/>
      <sheetName val="App9"/>
      <sheetName val="App10"/>
      <sheetName val="BGTotal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1"/>
      <sheetName val="App4"/>
      <sheetName val="4220"/>
      <sheetName val="4230"/>
      <sheetName val="App6 CC3"/>
      <sheetName val="App6 CC4"/>
      <sheetName val="App6 CC5"/>
      <sheetName val="App6 CC6"/>
      <sheetName val="App6 CC7"/>
      <sheetName val="App6 CC8"/>
      <sheetName val="App6 CC9"/>
      <sheetName val="App6 CC10"/>
      <sheetName val="App3"/>
      <sheetName val="App2"/>
      <sheetName val="10"/>
      <sheetName val="20"/>
      <sheetName val="41"/>
      <sheetName val="99"/>
      <sheetName val="BU5"/>
      <sheetName val="BU6"/>
      <sheetName val="BU7"/>
      <sheetName val="BU8"/>
      <sheetName val="App7.1"/>
      <sheetName val="App8"/>
      <sheetName val="App8.1"/>
      <sheetName val="App9"/>
      <sheetName val="App10"/>
      <sheetName val="BGTotal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 &amp; Variables"/>
      <sheetName val="Lists &amp; Variables 2"/>
      <sheetName val="General"/>
      <sheetName val="Qualitative"/>
      <sheetName val="Network"/>
      <sheetName val="- Retail -"/>
      <sheetName val="Retail Sales by Shop"/>
      <sheetName val="Retail Sales Feasibility"/>
      <sheetName val="Retail Sales by Line LV"/>
      <sheetName val="Retail Sales by Category"/>
      <sheetName val="Retail Sales by Clientele"/>
      <sheetName val="Retail Gross Margin Feasibility"/>
      <sheetName val="Retail Stock Aging"/>
      <sheetName val="Retail Stock Variation"/>
      <sheetName val="Retail Inventory Bouclage"/>
      <sheetName val="Retail Com Expenses December"/>
      <sheetName val="Retail Com Expenses June"/>
      <sheetName val="Retail EDP Expenses"/>
      <sheetName val="- Wholesale -"/>
      <sheetName val="Wholesale Sales by Client"/>
      <sheetName val="Wholesale Sales Feasibility"/>
      <sheetName val="Wholesale Com Expenses December"/>
      <sheetName val="Wholesale Com Expenses June"/>
      <sheetName val="Wholesale EDP Expenses"/>
      <sheetName val="- P&amp;L -"/>
      <sheetName val="Matrix P&amp;L December"/>
      <sheetName val="Retail Normal P&amp;L December"/>
      <sheetName val="Retail Outlet P&amp;L December"/>
      <sheetName val="Wholesale Nico P&amp;L December"/>
      <sheetName val="Wholesale Ico P&amp;L December"/>
      <sheetName val="Analytical P&amp;L December"/>
      <sheetName val="Matrix P&amp;L June"/>
      <sheetName val="Retail Normal P&amp;L June"/>
      <sheetName val="Retail Outlet P&amp;L June"/>
      <sheetName val="Wholesale Nico P&amp;L June"/>
      <sheetName val="Wholesale Ico P&amp;L June"/>
      <sheetName val="Analytical P&amp;L June"/>
      <sheetName val="- Other -"/>
      <sheetName val="Investments"/>
      <sheetName val="Detailed Investments"/>
      <sheetName val="Headcounts"/>
      <sheetName val="Cash Flow Forecast"/>
      <sheetName val="keyfig"/>
      <sheetName val="PL month"/>
      <sheetName val="PLShop"/>
      <sheetName val="Rent"/>
      <sheetName val="Salary"/>
      <sheetName val="Depn"/>
      <sheetName val="Travel"/>
      <sheetName val="Training"/>
      <sheetName val="Others"/>
      <sheetName val="COS"/>
      <sheetName val="C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Do K"/>
      <sheetName val="G hop"/>
      <sheetName val="DCTC"/>
      <sheetName val="T hop"/>
      <sheetName val="Sheet1"/>
      <sheetName val="TPHcat"/>
      <sheetName val="TPH da"/>
      <sheetName val="THUTHAU99"/>
      <sheetName val="THUTHAU6T_2000"/>
      <sheetName val="THUTHAU_QuyIII_2000"/>
      <sheetName val="Yaly"/>
      <sheetName val="THUTHAU_Nam_2000"/>
      <sheetName val="Soconnop_nam2000"/>
      <sheetName val="THUTHAU_Nam 2000"/>
      <sheetName val="B chinh 6 thang nam 2001"/>
      <sheetName val="B chinh Q3  nam 2001 "/>
      <sheetName val="SD1"/>
      <sheetName val="SD2"/>
      <sheetName val="SD4"/>
      <sheetName val="SD6"/>
      <sheetName val="SD7"/>
      <sheetName val="SD8"/>
      <sheetName val="SD9"/>
      <sheetName val="SD10"/>
      <sheetName val="SD12"/>
      <sheetName val="SD12 (2)"/>
      <sheetName val="Tv"/>
      <sheetName val="Bang ke cac CT"/>
      <sheetName val="000"/>
      <sheetName val="XX0"/>
      <sheetName val="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km345+400-km345+500 (2)"/>
      <sheetName val="km337+00-km337+34 (3)"/>
      <sheetName val="cong ty so 9 VINACONEX"/>
      <sheetName val="cong ty so 9 VINACONEX (2)"/>
      <sheetName val="Congty"/>
      <sheetName val="VPPN"/>
      <sheetName val="XN74"/>
      <sheetName val="XN54"/>
      <sheetName val="XN33"/>
      <sheetName val="NK96"/>
      <sheetName val="XL4Test5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Dong Dau"/>
      <sheetName val="Sau dong"/>
      <sheetName val="Ma xa"/>
      <sheetName val="Me tri"/>
      <sheetName val="My dinh"/>
      <sheetName val="Tong cong"/>
      <sheetName val="Sheet4"/>
      <sheetName val="Sheet5"/>
      <sheetName val="moma o 7+9"/>
      <sheetName val="Sheet2"/>
      <sheetName val="Sheet3"/>
      <sheetName val="CBR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tong hop"/>
      <sheetName val="phan tich DG"/>
      <sheetName val="gia vat lieu"/>
      <sheetName val="gia xe may"/>
      <sheetName val="gia nhan c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 (2)"/>
      <sheetName val="Gia NC"/>
      <sheetName val="00000001"/>
      <sheetName val="00000002"/>
      <sheetName val="20000000"/>
      <sheetName val="3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twork"/>
      <sheetName val="PART I"/>
      <sheetName val="Parameters"/>
      <sheetName val="Retail sales"/>
      <sheetName val="Inventory"/>
      <sheetName val="Franch"/>
      <sheetName val="Wholesale"/>
      <sheetName val="Purchase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veControl"/>
      <sheetName val="Calendar"/>
      <sheetName val="JANUARY"/>
      <sheetName val="FEBRUARY"/>
      <sheetName val="MARCH"/>
      <sheetName val="APRIL"/>
      <sheetName val="JUNE"/>
      <sheetName val="MAY"/>
      <sheetName val="JULY"/>
      <sheetName val="AUGUST"/>
      <sheetName val="SEPTEMBER"/>
      <sheetName val="NOVEMBER"/>
      <sheetName val="OCTOBER"/>
      <sheetName val="DECEMBER"/>
      <sheetName val="00000000"/>
      <sheetName val="10000000"/>
      <sheetName val="000000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Dinh muc du toan"/>
      <sheetName val="Config"/>
      <sheetName val="AutoClose"/>
      <sheetName val="total"/>
      <sheetName val="(viet)"/>
      <sheetName val="dictionary"/>
      <sheetName val="New(eng)"/>
      <sheetName val="RFI(eng)SW-sun"/>
      <sheetName val="RFI(eng)HVP-sun"/>
      <sheetName val="RFI(eng)SW"/>
      <sheetName val="RFI(eng)SW (2)"/>
      <sheetName val="RFI(eng)HVP"/>
      <sheetName val="RFI(eng)Lab."/>
      <sheetName val="RFI -ad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PIPE-03E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KH 2003 (moi max)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Tong hop"/>
      <sheetName val="KL tong"/>
      <sheetName val="Chi tiet - Dv lap"/>
      <sheetName val="TH KHTC"/>
      <sheetName val="000"/>
      <sheetName val="MD"/>
      <sheetName val="ND"/>
      <sheetName val="CONG"/>
      <sheetName val="DGCT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1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cd viaK0-T6"/>
      <sheetName val="cdvia T6-Tc24"/>
      <sheetName val="cdvia Tc24-T46"/>
      <sheetName val="cdbtnL2ko-k0+361"/>
      <sheetName val="cd btnL2k0+361-T19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Chart2"/>
      <sheetName val="be tong"/>
      <sheetName val="Thep"/>
      <sheetName val="Tong hop thep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Dong Dau"/>
      <sheetName val="Dong Dau (2)"/>
      <sheetName val="Sau dong"/>
      <sheetName val="Ma xa"/>
      <sheetName val="My dinh"/>
      <sheetName val="Tong c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THCT"/>
      <sheetName val="cap cho cac DT"/>
      <sheetName val="Ung - hoan"/>
      <sheetName val="CP may"/>
      <sheetName val="SS"/>
      <sheetName val="NVL"/>
      <sheetName val="10000000"/>
      <sheetName val="cong Q2"/>
      <sheetName val="T.U luong Q1"/>
      <sheetName val="T.U luong Q2"/>
      <sheetName val="T.U luong Q3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DT"/>
      <sheetName val="THND"/>
      <sheetName val="THMD"/>
      <sheetName val="Phtro1"/>
      <sheetName val="DTKS1"/>
      <sheetName val="CT1m"/>
      <sheetName val="VL"/>
      <sheetName val="CTXD"/>
      <sheetName val=".."/>
      <sheetName val="CTDN"/>
      <sheetName val="san vuon"/>
      <sheetName val="khu phu tro"/>
      <sheetName val="sent to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Thep "/>
      <sheetName val="Chi tiet Khoi luong"/>
      <sheetName val="TH khoi luong"/>
      <sheetName val="Chiet tinh vat lieu "/>
      <sheetName val="TH KL VL"/>
      <sheetName val="Thuyet minh"/>
      <sheetName val="CQ-HQ"/>
      <sheetName val="Phu luc"/>
      <sheetName val="Gia trÞ"/>
      <sheetName val="CHIT"/>
      <sheetName val="THXH"/>
      <sheetName val="BHXH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dutoan1"/>
      <sheetName val="Anhtoan"/>
      <sheetName val="dutoan2"/>
      <sheetName val="vat tu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phan tich DG"/>
      <sheetName val="gia vat lieu"/>
      <sheetName val="gia xe may"/>
      <sheetName val="gia nhan cong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9"/>
      <sheetName val="10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binh do"/>
      <sheetName val="cot lieu"/>
      <sheetName val="van khuon"/>
      <sheetName val="CT BT"/>
      <sheetName val="lay mau"/>
      <sheetName val="mat ngoai goi"/>
      <sheetName val="coc tram-bt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</sheetNames>
    <definedNames>
      <definedName name="DataFilter"/>
      <definedName name="DataSort"/>
      <definedName name="GoBa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HAN CONG"/>
      <sheetName val="MAY"/>
      <sheetName val="GIA VUA"/>
      <sheetName val="GIA VAT LIEU"/>
      <sheetName val="TH "/>
      <sheetName val="DT "/>
      <sheetName val="tong hop gia thau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tails"/>
      <sheetName val="Retire (March'03)"/>
      <sheetName val="LS (March'03)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an cong"/>
      <sheetName val="phu cap"/>
      <sheetName val="vlminh hoa"/>
      <sheetName val="DG "/>
      <sheetName val="NLV"/>
      <sheetName val="Ncong nhan"/>
      <sheetName val="Ha tang"/>
      <sheetName val="Bangthkp"/>
      <sheetName val="THKP"/>
      <sheetName val="general"/>
      <sheetName val="Main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hop"/>
      <sheetName val="thso sanh"/>
      <sheetName val="dutoan"/>
      <sheetName val="dtk490-491(PAI)"/>
      <sheetName val="dtk490-491(PAII)"/>
      <sheetName val="tuong"/>
      <sheetName val="DG "/>
      <sheetName val="denbu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PANEL 南區焚化爐"/>
      <sheetName val="NEW-PANEL"/>
      <sheetName val="MV-PANEL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Bieu1-LDTN"/>
      <sheetName val="Bieu 2a"/>
      <sheetName val="Bieu 2b"/>
      <sheetName val="Bieu 2c"/>
      <sheetName val="Bieu 3"/>
      <sheetName val="Bieu 4a"/>
      <sheetName val="Bieu 4b"/>
      <sheetName val="Bieu 4c-1"/>
      <sheetName val="Bieu 4c-2"/>
      <sheetName val="Bieu 5"/>
      <sheetName val="Bieu 6"/>
      <sheetName val="TDKT"/>
      <sheetName val="Sheet2"/>
      <sheetName val="Sheet3"/>
      <sheetName val="TONG HOP K L"/>
      <sheetName val="KLPSINH"/>
      <sheetName val="Bang PTKL-Luu"/>
      <sheetName val="Bang PTKL"/>
      <sheetName val="Tuan BCao"/>
      <sheetName val="KLNBA"/>
      <sheetName val="Theo doi Ranh"/>
      <sheetName val="Ranh 1"/>
      <sheetName val="Ranh"/>
      <sheetName val="KLTT"/>
      <sheetName val="cong411-415+500"/>
      <sheetName val="cong406-410"/>
      <sheetName val="116-128-cavico"/>
      <sheetName val="TKL"/>
      <sheetName val="KY TT"/>
      <sheetName val="KLBCCTY Cong"/>
      <sheetName val="TTKL VIA 2 NBA"/>
      <sheetName val="TTKL- TAM BAN 408"/>
      <sheetName val="KLVTU"/>
      <sheetName val="Phan dap K95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Form3m"/>
      <sheetName val="FormCaoDo"/>
      <sheetName val="GOC-SB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Dung"/>
      <sheetName val="Sheet11"/>
      <sheetName val="Sheet12"/>
      <sheetName val="ccdc"/>
      <sheetName val="pbnvlieu"/>
      <sheetName val="NKNVLIEUBSUNG"/>
      <sheetName val="pbcpqlq4"/>
      <sheetName val="pbcpchung"/>
      <sheetName val="pbccdcDUNG"/>
      <sheetName val="NVLQ1+2,03"/>
      <sheetName val="CCDCQ1+2.03"/>
      <sheetName val="1421Q1+2"/>
      <sheetName val="XXXXXXXX"/>
      <sheetName val="XXXXXXX0"/>
      <sheetName val="Gia VL"/>
      <sheetName val="Bang gia ca may"/>
      <sheetName val="Bang luong CB"/>
      <sheetName val="Bang P.tich CT"/>
      <sheetName val="D.toan chi tiet"/>
      <sheetName val="Bang TH Dtoan"/>
      <sheetName val="KM0+KM1"/>
      <sheetName val="KM1+KM2"/>
      <sheetName val="KM2+KM3"/>
      <sheetName val="Nen-Mat"/>
      <sheetName val="Ho ga"/>
      <sheetName val="Ho thu"/>
      <sheetName val=" Kl ranh kin BT, H30"/>
      <sheetName val="1.2-Kluong bo via &amp; rdan"/>
      <sheetName val="2.2-Kluong lat he"/>
      <sheetName val="BIA KP"/>
      <sheetName val="00000000"/>
      <sheetName val="10000000"/>
      <sheetName val="KHthuvon T3-2003"/>
      <sheetName val="KHThuvonT4-2003"/>
      <sheetName val="THuchienKHTVQI-2003"/>
      <sheetName val="KHTV Q2-2003"/>
      <sheetName val="Thang5-03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Congty"/>
      <sheetName val="VPPN"/>
      <sheetName val="XN74"/>
      <sheetName val="XN54"/>
      <sheetName val="XN33"/>
      <sheetName val="NK96"/>
      <sheetName val="XL4Test5"/>
      <sheetName val="T3"/>
      <sheetName val="KCT moi"/>
      <sheetName val="KCT moi (2)"/>
      <sheetName val="Hoi"/>
      <sheetName val="T4"/>
      <sheetName val="T5"/>
      <sheetName val="Quytien mat2003 baocao)"/>
      <sheetName val="T4 (2)"/>
      <sheetName val="T6"/>
      <sheetName val="T6Bich"/>
      <sheetName val="PC"/>
      <sheetName val="Ph-Thu"/>
      <sheetName val="Ph-Thu (2)"/>
      <sheetName val="PC (2)"/>
      <sheetName val="Chart2"/>
      <sheetName val="Chart1"/>
      <sheetName val="PC (3)"/>
      <sheetName val="Tonghop30.9"/>
      <sheetName val="Tonghop15.7"/>
      <sheetName val="Tonghop30.6"/>
      <sheetName val="Tonghop30.4"/>
      <sheetName val="Tonghop30.2"/>
      <sheetName val="Tonghop31.12"/>
      <sheetName val="CPQl"/>
      <sheetName val="DBDAN"/>
      <sheetName val="CTCCN"/>
      <sheetName val="TDC"/>
      <sheetName val="Daotao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tong hop"/>
      <sheetName val="phan tich DG"/>
      <sheetName val="gia vat lieu"/>
      <sheetName val="gia xe may"/>
      <sheetName val="gia nhan con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5 nam (tach)"/>
      <sheetName val="5 nam (tach) (2)"/>
      <sheetName val="KH 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8"/>
      <sheetName val="GVL"/>
      <sheetName val="Sheet6"/>
      <sheetName val="CT"/>
      <sheetName val="Sheet4"/>
      <sheetName val="DT"/>
      <sheetName val="Sheet2"/>
      <sheetName val="dongia"/>
      <sheetName val="Sheet3"/>
      <sheetName val="Sheet1"/>
      <sheetName val="Congty"/>
      <sheetName val="VPPN"/>
      <sheetName val="XN74"/>
      <sheetName val="XN54"/>
      <sheetName val="XN33"/>
      <sheetName val="NK96"/>
      <sheetName val="XL4Tes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ม.ค."/>
      <sheetName val="ก.พ."/>
      <sheetName val="มี.ค."/>
      <sheetName val="เม.ย"/>
      <sheetName val="พ.ค."/>
      <sheetName val="มิ.ย."/>
      <sheetName val="ก.ค."/>
      <sheetName val="ส.ค"/>
      <sheetName val="ก.ย"/>
      <sheetName val="ต.ค."/>
      <sheetName val="พ.ย."/>
      <sheetName val="ธ.ค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m"/>
      <sheetName val="Km0-1"/>
      <sheetName val="KM1-2"/>
      <sheetName val="Km2-3"/>
      <sheetName val="Km3-4"/>
      <sheetName val="Km4-5"/>
      <sheetName val="Km5-6"/>
      <sheetName val="Km6-7"/>
      <sheetName val="Km7-8"/>
      <sheetName val="Tonghop-bt"/>
      <sheetName val="Tonghop-cc"/>
      <sheetName val="Ny-Km1-4"/>
      <sheetName val="Ny-Km4-6"/>
      <sheetName val="Ny-Km6-8"/>
      <sheetName val="Temp"/>
      <sheetName val="KLM"/>
      <sheetName val="Coc tieu-rao chan"/>
      <sheetName val="Ny-Km1-4 (cc)"/>
      <sheetName val="Ny-Km4-6 (cc)"/>
      <sheetName val="Ny-Km6-8 (cc)"/>
      <sheetName val="CC"/>
      <sheetName val="Phdoan-bt"/>
      <sheetName val="Phdoan-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istoriq"/>
      <sheetName val="feuille de travail"/>
      <sheetName val="FAformat"/>
      <sheetName val="MONDE"/>
      <sheetName val="Produits"/>
      <sheetName val="Marges internes"/>
      <sheetName val="INC"/>
      <sheetName val="MEX"/>
      <sheetName val="BRA"/>
      <sheetName val="AMERIQ"/>
      <sheetName val="HK"/>
      <sheetName val="MAL"/>
      <sheetName val="SIN"/>
      <sheetName val="CHI"/>
      <sheetName val="TAI"/>
      <sheetName val="THA"/>
      <sheetName val="AUS"/>
      <sheetName val="NZ"/>
      <sheetName val="GUA"/>
      <sheetName val="SAI"/>
      <sheetName val="FAR"/>
      <sheetName val="KK"/>
      <sheetName val="K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Payment"/>
      <sheetName val="Sheet1"/>
    </sheetNames>
    <sheetDataSet>
      <sheetData sheetId="0"/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Definition and Guidelines"/>
      <sheetName val="Company Information"/>
      <sheetName val="Salary &amp; Staffing"/>
      <sheetName val="Short Term Incentives"/>
      <sheetName val="Flexible Benefits"/>
      <sheetName val="Retirement"/>
      <sheetName val="Medical"/>
      <sheetName val="Life Insurance and AD&amp;D"/>
      <sheetName val="Car - Benefit"/>
      <sheetName val="Loans"/>
      <sheetName val="Incumbent Data"/>
      <sheetName val="WorkforceMetricsInformation"/>
      <sheetName val="Feedback Questions"/>
      <sheetName val="Position Listing"/>
      <sheetName val="Exchange Rate"/>
      <sheetName val="Terms and Conditions"/>
      <sheetName val="Error Log"/>
      <sheetName val="Coding"/>
      <sheetName val="ORGDATA"/>
      <sheetName val="SALSTAFF1"/>
      <sheetName val="SALSTAFF2"/>
      <sheetName val="STIDATA"/>
      <sheetName val="FLEXDATA"/>
      <sheetName val="PLANDATA"/>
      <sheetName val="DCDATA"/>
      <sheetName val="HEALTHDATA"/>
      <sheetName val="LIFEDATA"/>
      <sheetName val="CARPOLICY"/>
      <sheetName val="LOANDATA"/>
      <sheetName val="ISOCTRY"/>
      <sheetName val="Hospi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Sheet6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rich Ngang"/>
      <sheetName val="Danh sach Rieng"/>
      <sheetName val="Dia Diem Thuc Tap"/>
      <sheetName val="De Tai Thuc Tap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10000000"/>
      <sheetName val="Congty"/>
      <sheetName val="VPPN"/>
      <sheetName val="XN74"/>
      <sheetName val="XN54"/>
      <sheetName val="XN33"/>
      <sheetName val="NK96"/>
      <sheetName val="XL4Test5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b1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KM"/>
      <sheetName val="KHOANMUC"/>
      <sheetName val="QTNC"/>
      <sheetName val="CPQL"/>
      <sheetName val="SANLUONG"/>
      <sheetName val="SSCP-SL"/>
      <sheetName val="CPSX"/>
      <sheetName val="CDSL (2)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phan tich DG"/>
      <sheetName val="gia vat lieu"/>
      <sheetName val="gia xe may"/>
      <sheetName val="gia nhan cong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onghop"/>
      <sheetName val="Sheet7"/>
      <sheetName val="XXXXXX_xda24_X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切割 MTL"/>
      <sheetName val="切割 DI"/>
      <sheetName val="ESTI."/>
      <sheetName val="DI-ESTI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XXXXXXXX"/>
      <sheetName val="Gia VL"/>
      <sheetName val="Bang gia ca may"/>
      <sheetName val="Bang luong CB"/>
      <sheetName val="Bang P.tich CT"/>
      <sheetName val="D.toan chi tiet"/>
      <sheetName val="Bang TH Dtoan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00000000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Quang Tri"/>
      <sheetName val="TTHue"/>
      <sheetName val="Da Nang"/>
      <sheetName val="Quang Nam"/>
      <sheetName val="Quang Ngai"/>
      <sheetName val="TH DH-QN"/>
      <sheetName val="KP HD"/>
      <sheetName val="DB HD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i khoan"/>
      <sheetName val="So KT"/>
      <sheetName val="Module2"/>
      <sheetName val="Module1"/>
      <sheetName val="Module3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"/>
      <sheetName val="DG"/>
      <sheetName val="THop"/>
      <sheetName val="TDT"/>
      <sheetName val="Kluong"/>
      <sheetName val="H.so"/>
      <sheetName val="Tva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luongKm2,4"/>
      <sheetName val="B.cao"/>
      <sheetName val="T.tiet"/>
      <sheetName val="T.N"/>
      <sheetName val="00000000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Sheet1"/>
      <sheetName val="To trinh"/>
      <sheetName val="Sheet2"/>
      <sheetName val="bang2"/>
      <sheetName val="coHoan"/>
      <sheetName val="Congty"/>
      <sheetName val="VPPN"/>
      <sheetName val="XN74"/>
      <sheetName val="XN54"/>
      <sheetName val="XN33"/>
      <sheetName val="NK96"/>
      <sheetName val="TH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XXXXXXXX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0"/>
      <sheetName val="10000000"/>
      <sheetName val="XXXXXXX1"/>
      <sheetName val="20000000"/>
      <sheetName val="3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vc"/>
      <sheetName val="tra-vat-lieu"/>
      <sheetName val="PTDG"/>
      <sheetName val="T.Tranh AnLoc"/>
      <sheetName val="T.Tranh LocNinh"/>
      <sheetName val="QL13"/>
      <sheetName val="Tonghop"/>
      <sheetName val="Tra_bang"/>
      <sheetName val="KSTK(1778 Dcuong)"/>
      <sheetName val="dbgt(tuyen) (2)"/>
      <sheetName val="dbgt(tuyen)"/>
      <sheetName val="DgiaksatDHC4,"/>
      <sheetName val="dongia"/>
      <sheetName val="KSTK (06)"/>
      <sheetName val="XL4Poppy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VC"/>
      <sheetName val="TVL"/>
      <sheetName val="PTDG"/>
      <sheetName val="DTCT"/>
      <sheetName val="TH"/>
      <sheetName val="DBGT"/>
      <sheetName val="XXXXXXXX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VLIEU"/>
      <sheetName val="CVC"/>
      <sheetName val="PTDG"/>
      <sheetName val="DTCT"/>
      <sheetName val="th"/>
      <sheetName val="KSTK"/>
      <sheetName val="HLM"/>
      <sheetName val="denbu"/>
      <sheetName val="trabang"/>
      <sheetName val="VCTbi"/>
      <sheetName val="hepha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VC"/>
      <sheetName val="TVL"/>
      <sheetName val="ptdg"/>
      <sheetName val="DTCT"/>
      <sheetName val="TH"/>
      <sheetName val="KSTK"/>
      <sheetName val="KLNT"/>
      <sheetName val="Sheet2"/>
      <sheetName val="trabang"/>
      <sheetName val="Dg Dchat"/>
      <sheetName val="Dg Dhinh"/>
      <sheetName val="TVLIEU"/>
      <sheetName val="GTXL"/>
      <sheetName val="Bao gia"/>
      <sheetName val="Trabang-TPhuoc"/>
      <sheetName val="00000000"/>
      <sheetName val="XXXXXXXX"/>
      <sheetName val="XXXXXXX0"/>
      <sheetName val="XXXXXXX1"/>
      <sheetName val="XXXXXXX2"/>
      <sheetName val="XL4Poppy"/>
      <sheetName val="Nghiem thu"/>
      <sheetName val="KS duong"/>
      <sheetName val="Sheet13"/>
      <sheetName val="DTDD"/>
      <sheetName val="DTCD"/>
      <sheetName val="DTDD2003"/>
      <sheetName val="Vayvon"/>
      <sheetName val="Sheet5"/>
      <sheetName val="Sheet4"/>
      <sheetName val="Sheet1"/>
      <sheetName val="Tdien"/>
      <sheetName val="DTSON ADB3-N2"/>
      <sheetName val="Sheet12"/>
      <sheetName val="Sheet11"/>
      <sheetName val="Sheet10"/>
      <sheetName val="Sheet9"/>
      <sheetName val="Sheet7"/>
      <sheetName val="BangketienvayNHS"/>
      <sheetName val="Sheet15"/>
      <sheetName val="Sheet3"/>
      <sheetName val="XL4Test5"/>
      <sheetName val="Congty"/>
      <sheetName val="VPPN"/>
      <sheetName val="XN74"/>
      <sheetName val="XN54"/>
      <sheetName val="XN33"/>
      <sheetName val="NK96"/>
      <sheetName val="Sheet6"/>
      <sheetName val="tong hop"/>
      <sheetName val="phan tich DG"/>
      <sheetName val="gia vat lieu"/>
      <sheetName val="gia xe may"/>
      <sheetName val="gia nhan c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0CC0-5FFB-904C-800F-5D3AEEDB577E}">
  <sheetPr filterMode="1">
    <tabColor rgb="FFFFFFCC"/>
  </sheetPr>
  <dimension ref="A1:CJ37"/>
  <sheetViews>
    <sheetView tabSelected="1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Q40" sqref="Q40"/>
    </sheetView>
  </sheetViews>
  <sheetFormatPr baseColWidth="10" defaultColWidth="8.83203125" defaultRowHeight="15" x14ac:dyDescent="0.2"/>
  <cols>
    <col min="1" max="1" width="15.83203125" style="1" bestFit="1" customWidth="1"/>
    <col min="2" max="2" width="22.6640625" style="1" bestFit="1" customWidth="1"/>
    <col min="3" max="4" width="13.6640625" style="1" bestFit="1" customWidth="1"/>
    <col min="5" max="5" width="18.6640625" style="1" bestFit="1" customWidth="1"/>
    <col min="6" max="7" width="16.6640625" style="1" bestFit="1" customWidth="1"/>
    <col min="8" max="8" width="21.6640625" style="1" bestFit="1" customWidth="1"/>
    <col min="9" max="11" width="15.33203125" style="1" bestFit="1" customWidth="1"/>
    <col min="12" max="12" width="10.1640625" style="1" bestFit="1" customWidth="1"/>
    <col min="13" max="13" width="29.5" style="1" bestFit="1" customWidth="1"/>
    <col min="14" max="14" width="22.6640625" style="1" bestFit="1" customWidth="1"/>
    <col min="15" max="15" width="16.33203125" style="1" bestFit="1" customWidth="1"/>
    <col min="16" max="16" width="13" style="1" bestFit="1" customWidth="1"/>
    <col min="17" max="17" width="14.33203125" style="1" bestFit="1" customWidth="1"/>
    <col min="18" max="18" width="13.6640625" style="1" bestFit="1" customWidth="1"/>
    <col min="19" max="19" width="16" style="1" bestFit="1" customWidth="1"/>
    <col min="20" max="21" width="18.1640625" style="1" bestFit="1" customWidth="1"/>
    <col min="22" max="22" width="17.5" style="1" bestFit="1" customWidth="1"/>
    <col min="23" max="23" width="18" style="1" bestFit="1" customWidth="1"/>
    <col min="24" max="24" width="19.83203125" style="1" bestFit="1" customWidth="1"/>
    <col min="25" max="25" width="20.33203125" style="1" bestFit="1" customWidth="1"/>
    <col min="26" max="26" width="21.5" style="1" bestFit="1" customWidth="1"/>
    <col min="27" max="27" width="22" style="1" bestFit="1" customWidth="1"/>
    <col min="28" max="28" width="17.83203125" style="1" bestFit="1" customWidth="1"/>
    <col min="29" max="29" width="18.33203125" style="1" bestFit="1" customWidth="1"/>
    <col min="30" max="30" width="13.33203125" style="1" bestFit="1" customWidth="1"/>
    <col min="31" max="31" width="13.83203125" style="1" bestFit="1" customWidth="1"/>
    <col min="32" max="32" width="19.1640625" style="1" bestFit="1" customWidth="1"/>
    <col min="33" max="33" width="27.33203125" style="1" bestFit="1" customWidth="1"/>
    <col min="34" max="34" width="21.6640625" style="1" bestFit="1" customWidth="1"/>
    <col min="35" max="35" width="20.1640625" style="1" bestFit="1" customWidth="1"/>
    <col min="36" max="36" width="19.5" style="1" bestFit="1" customWidth="1"/>
    <col min="37" max="37" width="20.83203125" style="1" bestFit="1" customWidth="1"/>
    <col min="38" max="38" width="16.33203125" style="1" bestFit="1" customWidth="1"/>
    <col min="39" max="39" width="19.83203125" style="1" bestFit="1" customWidth="1"/>
    <col min="40" max="40" width="11.1640625" style="1" bestFit="1" customWidth="1"/>
    <col min="41" max="41" width="12.6640625" style="1" bestFit="1" customWidth="1"/>
    <col min="42" max="42" width="10.5" style="1" bestFit="1" customWidth="1"/>
    <col min="43" max="43" width="14.1640625" style="1" bestFit="1" customWidth="1"/>
    <col min="44" max="44" width="17.83203125" style="1" bestFit="1" customWidth="1"/>
    <col min="45" max="45" width="16.83203125" style="1" bestFit="1" customWidth="1"/>
    <col min="46" max="46" width="18.5" style="1" bestFit="1" customWidth="1"/>
    <col min="47" max="48" width="14.33203125" style="1" bestFit="1" customWidth="1"/>
    <col min="49" max="49" width="13.83203125" style="1" bestFit="1" customWidth="1"/>
    <col min="50" max="50" width="15" style="1" bestFit="1" customWidth="1"/>
    <col min="51" max="51" width="16.33203125" style="1" bestFit="1" customWidth="1"/>
    <col min="52" max="52" width="15.6640625" style="1" bestFit="1" customWidth="1"/>
    <col min="53" max="53" width="17" style="1" bestFit="1" customWidth="1"/>
    <col min="54" max="54" width="21.6640625" style="1" bestFit="1" customWidth="1"/>
    <col min="55" max="55" width="24.33203125" style="1" bestFit="1" customWidth="1"/>
    <col min="56" max="56" width="29" style="1" bestFit="1" customWidth="1"/>
    <col min="57" max="57" width="14" style="1" bestFit="1" customWidth="1"/>
    <col min="58" max="58" width="18" style="1" bestFit="1" customWidth="1"/>
    <col min="59" max="59" width="18.5" style="1" bestFit="1" customWidth="1"/>
    <col min="60" max="60" width="22.6640625" style="1" bestFit="1" customWidth="1"/>
    <col min="61" max="61" width="26.1640625" style="1" bestFit="1" customWidth="1"/>
    <col min="62" max="62" width="20.5" style="1" bestFit="1" customWidth="1"/>
    <col min="63" max="63" width="21.5" style="1" bestFit="1" customWidth="1"/>
    <col min="64" max="64" width="24.33203125" style="1" bestFit="1" customWidth="1"/>
    <col min="65" max="65" width="23.83203125" style="1" bestFit="1" customWidth="1"/>
    <col min="66" max="66" width="29.5" style="1" bestFit="1" customWidth="1"/>
    <col min="67" max="67" width="27.6640625" style="1" bestFit="1" customWidth="1"/>
    <col min="68" max="68" width="19.6640625" style="1" bestFit="1" customWidth="1"/>
    <col min="69" max="69" width="22.6640625" style="1" bestFit="1" customWidth="1"/>
    <col min="70" max="70" width="22" style="1" bestFit="1" customWidth="1"/>
    <col min="71" max="71" width="25.6640625" style="1" bestFit="1" customWidth="1"/>
    <col min="72" max="72" width="26.5" style="1" bestFit="1" customWidth="1"/>
    <col min="73" max="73" width="21.33203125" style="1" bestFit="1" customWidth="1"/>
    <col min="74" max="74" width="19.33203125" style="1" bestFit="1" customWidth="1"/>
    <col min="75" max="75" width="23.33203125" style="1" bestFit="1" customWidth="1"/>
    <col min="76" max="77" width="21.5" style="1" bestFit="1" customWidth="1"/>
    <col min="78" max="78" width="21.83203125" style="1" bestFit="1" customWidth="1"/>
    <col min="79" max="79" width="19.33203125" style="1" bestFit="1" customWidth="1"/>
    <col min="80" max="81" width="8.83203125" style="1"/>
    <col min="82" max="82" width="13.1640625" style="1" bestFit="1" customWidth="1"/>
    <col min="83" max="83" width="12.33203125" style="1" bestFit="1" customWidth="1"/>
    <col min="84" max="84" width="11.1640625" style="1" bestFit="1" customWidth="1"/>
    <col min="85" max="86" width="8.83203125" style="1"/>
    <col min="87" max="87" width="13.33203125" style="1" bestFit="1" customWidth="1"/>
    <col min="88" max="88" width="9.1640625" style="1" bestFit="1" customWidth="1"/>
    <col min="89" max="16384" width="8.83203125" style="1"/>
  </cols>
  <sheetData>
    <row r="1" spans="1:88" x14ac:dyDescent="0.2">
      <c r="A1" s="1">
        <f>COLUMN()</f>
        <v>1</v>
      </c>
      <c r="B1" s="1">
        <f>COLUMN()</f>
        <v>2</v>
      </c>
      <c r="C1" s="1">
        <f>COLUMN()</f>
        <v>3</v>
      </c>
      <c r="D1" s="1">
        <f>COLUMN()</f>
        <v>4</v>
      </c>
      <c r="E1" s="1">
        <f>COLUMN()</f>
        <v>5</v>
      </c>
      <c r="F1" s="1">
        <f>COLUMN()</f>
        <v>6</v>
      </c>
      <c r="G1" s="1">
        <f>COLUMN()</f>
        <v>7</v>
      </c>
      <c r="H1" s="1">
        <f>COLUMN()</f>
        <v>8</v>
      </c>
      <c r="I1" s="1">
        <f>COLUMN()</f>
        <v>9</v>
      </c>
      <c r="J1" s="1">
        <f>COLUMN()</f>
        <v>10</v>
      </c>
      <c r="K1" s="1">
        <f>COLUMN()</f>
        <v>11</v>
      </c>
      <c r="L1" s="1">
        <f>COLUMN()</f>
        <v>12</v>
      </c>
      <c r="M1" s="1">
        <f>COLUMN()</f>
        <v>13</v>
      </c>
      <c r="N1" s="1">
        <f>COLUMN()</f>
        <v>14</v>
      </c>
      <c r="O1" s="1">
        <f>COLUMN()</f>
        <v>15</v>
      </c>
      <c r="P1" s="1">
        <f>COLUMN()</f>
        <v>16</v>
      </c>
      <c r="Q1" s="1">
        <f>COLUMN()</f>
        <v>17</v>
      </c>
      <c r="R1" s="1">
        <f>COLUMN()</f>
        <v>18</v>
      </c>
      <c r="S1" s="1">
        <f>COLUMN()</f>
        <v>19</v>
      </c>
      <c r="T1" s="1">
        <f>COLUMN()</f>
        <v>20</v>
      </c>
      <c r="U1" s="1">
        <f>COLUMN()</f>
        <v>21</v>
      </c>
      <c r="V1" s="1">
        <f>COLUMN()</f>
        <v>22</v>
      </c>
      <c r="W1" s="1">
        <f>COLUMN()</f>
        <v>23</v>
      </c>
      <c r="X1" s="1">
        <f>COLUMN()</f>
        <v>24</v>
      </c>
      <c r="Y1" s="1">
        <f>COLUMN()</f>
        <v>25</v>
      </c>
      <c r="Z1" s="1">
        <f>COLUMN()</f>
        <v>26</v>
      </c>
      <c r="AA1" s="1">
        <f>COLUMN()</f>
        <v>27</v>
      </c>
      <c r="AB1" s="1">
        <f>COLUMN()</f>
        <v>28</v>
      </c>
      <c r="AC1" s="1">
        <f>COLUMN()</f>
        <v>29</v>
      </c>
      <c r="AD1" s="1">
        <f>COLUMN()</f>
        <v>30</v>
      </c>
      <c r="AE1" s="1">
        <f>COLUMN()</f>
        <v>31</v>
      </c>
      <c r="AF1" s="1">
        <f>COLUMN()</f>
        <v>32</v>
      </c>
      <c r="AG1" s="1">
        <f>COLUMN()</f>
        <v>33</v>
      </c>
      <c r="AH1" s="1">
        <f>COLUMN()</f>
        <v>34</v>
      </c>
      <c r="AI1" s="1">
        <f>COLUMN()</f>
        <v>35</v>
      </c>
      <c r="AJ1" s="1">
        <f>COLUMN()</f>
        <v>36</v>
      </c>
      <c r="AK1" s="1">
        <f>COLUMN()</f>
        <v>37</v>
      </c>
      <c r="AL1" s="1">
        <f>COLUMN()</f>
        <v>38</v>
      </c>
      <c r="AM1" s="1">
        <f>COLUMN()</f>
        <v>39</v>
      </c>
      <c r="AN1" s="1">
        <f>COLUMN()</f>
        <v>40</v>
      </c>
      <c r="AO1" s="1">
        <f>COLUMN()</f>
        <v>41</v>
      </c>
      <c r="AP1" s="1">
        <f>COLUMN()</f>
        <v>42</v>
      </c>
      <c r="AQ1" s="1">
        <f>COLUMN()</f>
        <v>43</v>
      </c>
      <c r="AR1" s="1">
        <f>COLUMN()</f>
        <v>44</v>
      </c>
      <c r="AS1" s="1">
        <f>COLUMN()</f>
        <v>45</v>
      </c>
      <c r="AT1" s="1">
        <f>COLUMN()</f>
        <v>46</v>
      </c>
      <c r="AU1" s="1">
        <f>COLUMN()</f>
        <v>47</v>
      </c>
      <c r="AV1" s="1">
        <f>COLUMN()</f>
        <v>48</v>
      </c>
      <c r="AW1" s="1">
        <f>COLUMN()</f>
        <v>49</v>
      </c>
      <c r="AX1" s="1">
        <f>COLUMN()</f>
        <v>50</v>
      </c>
      <c r="AY1" s="1">
        <f>COLUMN()</f>
        <v>51</v>
      </c>
      <c r="AZ1" s="1">
        <f>COLUMN()</f>
        <v>52</v>
      </c>
      <c r="BA1" s="1">
        <f>COLUMN()</f>
        <v>53</v>
      </c>
      <c r="BB1" s="1">
        <f>COLUMN()</f>
        <v>54</v>
      </c>
      <c r="BC1" s="1">
        <f>COLUMN()</f>
        <v>55</v>
      </c>
      <c r="BD1" s="1">
        <f>COLUMN()</f>
        <v>56</v>
      </c>
      <c r="BE1" s="1">
        <f>COLUMN()</f>
        <v>57</v>
      </c>
      <c r="BF1" s="1">
        <f>COLUMN()</f>
        <v>58</v>
      </c>
      <c r="BG1" s="1">
        <f>COLUMN()</f>
        <v>59</v>
      </c>
      <c r="BH1" s="1">
        <f>COLUMN()</f>
        <v>60</v>
      </c>
      <c r="BI1" s="1">
        <f>COLUMN()</f>
        <v>61</v>
      </c>
      <c r="BJ1" s="1">
        <f>COLUMN()</f>
        <v>62</v>
      </c>
      <c r="BK1" s="1">
        <f>COLUMN()</f>
        <v>63</v>
      </c>
      <c r="BL1" s="1">
        <f>COLUMN()</f>
        <v>64</v>
      </c>
      <c r="BM1" s="1">
        <f>COLUMN()</f>
        <v>65</v>
      </c>
      <c r="BN1" s="1">
        <f>COLUMN()</f>
        <v>66</v>
      </c>
      <c r="BO1" s="1">
        <f>COLUMN()</f>
        <v>67</v>
      </c>
      <c r="BP1" s="1">
        <f>COLUMN()</f>
        <v>68</v>
      </c>
      <c r="BQ1" s="1">
        <f>COLUMN()</f>
        <v>69</v>
      </c>
      <c r="BR1" s="1">
        <f>COLUMN()</f>
        <v>70</v>
      </c>
      <c r="BS1" s="1">
        <f>COLUMN()</f>
        <v>71</v>
      </c>
      <c r="BT1" s="1">
        <f>COLUMN()</f>
        <v>72</v>
      </c>
      <c r="BU1" s="1">
        <f>COLUMN()</f>
        <v>73</v>
      </c>
      <c r="BV1" s="1">
        <f>COLUMN()</f>
        <v>74</v>
      </c>
      <c r="BW1" s="1">
        <f>COLUMN()</f>
        <v>75</v>
      </c>
      <c r="BX1" s="1">
        <f>COLUMN()</f>
        <v>76</v>
      </c>
      <c r="BY1" s="1">
        <f>COLUMN()</f>
        <v>77</v>
      </c>
      <c r="BZ1" s="1">
        <f>COLUMN()</f>
        <v>78</v>
      </c>
      <c r="CA1" s="1">
        <f>COLUMN()</f>
        <v>79</v>
      </c>
    </row>
    <row r="2" spans="1:88" s="6" customForma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 t="s">
        <v>1</v>
      </c>
      <c r="T2" s="3"/>
      <c r="U2" s="3"/>
      <c r="V2" s="3" t="s">
        <v>2</v>
      </c>
      <c r="W2" s="3"/>
      <c r="X2" s="3"/>
      <c r="Y2" s="3"/>
      <c r="Z2" s="3"/>
      <c r="AA2" s="3"/>
      <c r="AB2" s="3"/>
      <c r="AC2" s="3"/>
      <c r="AD2" s="3"/>
      <c r="AE2" s="3"/>
      <c r="AF2" s="3" t="s">
        <v>3</v>
      </c>
      <c r="AG2" s="3"/>
      <c r="AH2" s="3"/>
      <c r="AI2" s="3" t="s">
        <v>4</v>
      </c>
      <c r="AJ2" s="3"/>
      <c r="AK2" s="3" t="s">
        <v>5</v>
      </c>
      <c r="AL2" s="3"/>
      <c r="AM2" s="3"/>
      <c r="AN2" s="3"/>
      <c r="AO2" s="3"/>
      <c r="AP2" s="3"/>
      <c r="AQ2" s="3"/>
      <c r="AR2" s="4" t="s">
        <v>6</v>
      </c>
      <c r="AS2" s="4"/>
      <c r="AT2" s="4"/>
      <c r="AU2" s="4"/>
      <c r="AV2" s="4"/>
      <c r="AW2" s="4"/>
      <c r="AX2" s="4" t="s">
        <v>7</v>
      </c>
      <c r="AY2" s="4"/>
      <c r="AZ2" s="4" t="s">
        <v>8</v>
      </c>
      <c r="BA2" s="4"/>
      <c r="BB2" s="4"/>
      <c r="BC2" s="4"/>
      <c r="BD2" s="4"/>
      <c r="BE2" s="4" t="s">
        <v>9</v>
      </c>
      <c r="BF2" s="4"/>
      <c r="BG2" s="4"/>
      <c r="BH2" s="4"/>
      <c r="BI2" s="4"/>
      <c r="BJ2" s="4" t="s">
        <v>10</v>
      </c>
      <c r="BK2" s="4"/>
      <c r="BL2" s="4"/>
      <c r="BM2" s="4" t="s">
        <v>11</v>
      </c>
      <c r="BN2" s="4"/>
      <c r="BO2" s="4"/>
      <c r="BP2" s="4"/>
      <c r="BQ2" s="4" t="s">
        <v>12</v>
      </c>
      <c r="BR2" s="4"/>
      <c r="BS2" s="4" t="s">
        <v>13</v>
      </c>
      <c r="BT2" s="4"/>
      <c r="BU2" s="4" t="s">
        <v>14</v>
      </c>
      <c r="BV2" s="4"/>
      <c r="BW2" s="4"/>
      <c r="BX2" s="4"/>
      <c r="BY2" s="5" t="s">
        <v>15</v>
      </c>
      <c r="BZ2" s="5"/>
      <c r="CA2" s="5"/>
    </row>
    <row r="3" spans="1:88" s="6" customFormat="1" x14ac:dyDescent="0.2">
      <c r="A3" s="7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7" t="s">
        <v>29</v>
      </c>
      <c r="O3" s="7" t="s">
        <v>30</v>
      </c>
      <c r="P3" s="7" t="s">
        <v>31</v>
      </c>
      <c r="Q3" s="7" t="s">
        <v>32</v>
      </c>
      <c r="R3" s="7" t="s">
        <v>33</v>
      </c>
      <c r="S3" s="8" t="s">
        <v>34</v>
      </c>
      <c r="T3" s="8" t="s">
        <v>35</v>
      </c>
      <c r="U3" s="8" t="s">
        <v>36</v>
      </c>
      <c r="V3" s="8" t="s">
        <v>37</v>
      </c>
      <c r="W3" s="8" t="s">
        <v>38</v>
      </c>
      <c r="X3" s="8" t="s">
        <v>39</v>
      </c>
      <c r="Y3" s="8" t="s">
        <v>40</v>
      </c>
      <c r="Z3" s="8" t="s">
        <v>41</v>
      </c>
      <c r="AA3" s="8" t="s">
        <v>42</v>
      </c>
      <c r="AB3" s="8" t="s">
        <v>43</v>
      </c>
      <c r="AC3" s="8" t="s">
        <v>44</v>
      </c>
      <c r="AD3" s="8" t="s">
        <v>45</v>
      </c>
      <c r="AE3" s="8" t="s">
        <v>46</v>
      </c>
      <c r="AF3" s="8" t="s">
        <v>47</v>
      </c>
      <c r="AG3" s="8" t="s">
        <v>48</v>
      </c>
      <c r="AH3" s="8" t="s">
        <v>49</v>
      </c>
      <c r="AI3" s="8" t="s">
        <v>50</v>
      </c>
      <c r="AJ3" s="8" t="s">
        <v>51</v>
      </c>
      <c r="AK3" s="9" t="s">
        <v>52</v>
      </c>
      <c r="AL3" s="9" t="s">
        <v>53</v>
      </c>
      <c r="AM3" s="8" t="s">
        <v>54</v>
      </c>
      <c r="AN3" s="8" t="s">
        <v>55</v>
      </c>
      <c r="AO3" s="8" t="s">
        <v>56</v>
      </c>
      <c r="AP3" s="8" t="s">
        <v>57</v>
      </c>
      <c r="AQ3" s="9" t="s">
        <v>58</v>
      </c>
      <c r="AR3" s="10" t="s">
        <v>59</v>
      </c>
      <c r="AS3" s="10" t="s">
        <v>60</v>
      </c>
      <c r="AT3" s="10" t="s">
        <v>61</v>
      </c>
      <c r="AU3" s="10" t="s">
        <v>62</v>
      </c>
      <c r="AV3" s="9" t="s">
        <v>63</v>
      </c>
      <c r="AW3" s="10" t="s">
        <v>64</v>
      </c>
      <c r="AX3" s="10" t="s">
        <v>65</v>
      </c>
      <c r="AY3" s="10" t="s">
        <v>66</v>
      </c>
      <c r="AZ3" s="10" t="s">
        <v>67</v>
      </c>
      <c r="BA3" s="10" t="s">
        <v>68</v>
      </c>
      <c r="BB3" s="10" t="s">
        <v>69</v>
      </c>
      <c r="BC3" s="10" t="s">
        <v>70</v>
      </c>
      <c r="BD3" s="10" t="s">
        <v>71</v>
      </c>
      <c r="BE3" s="10" t="s">
        <v>72</v>
      </c>
      <c r="BF3" s="10" t="s">
        <v>73</v>
      </c>
      <c r="BG3" s="10" t="s">
        <v>74</v>
      </c>
      <c r="BH3" s="10" t="s">
        <v>75</v>
      </c>
      <c r="BI3" s="10" t="s">
        <v>76</v>
      </c>
      <c r="BJ3" s="10" t="s">
        <v>77</v>
      </c>
      <c r="BK3" s="10" t="s">
        <v>78</v>
      </c>
      <c r="BL3" s="9" t="s">
        <v>79</v>
      </c>
      <c r="BM3" s="10" t="s">
        <v>80</v>
      </c>
      <c r="BN3" s="10" t="s">
        <v>81</v>
      </c>
      <c r="BO3" s="10" t="s">
        <v>82</v>
      </c>
      <c r="BP3" s="10" t="s">
        <v>83</v>
      </c>
      <c r="BQ3" s="10" t="s">
        <v>84</v>
      </c>
      <c r="BR3" s="10" t="s">
        <v>85</v>
      </c>
      <c r="BS3" s="10" t="s">
        <v>86</v>
      </c>
      <c r="BT3" s="10" t="s">
        <v>87</v>
      </c>
      <c r="BU3" s="10" t="s">
        <v>88</v>
      </c>
      <c r="BV3" s="10" t="s">
        <v>89</v>
      </c>
      <c r="BW3" s="10" t="s">
        <v>90</v>
      </c>
      <c r="BX3" s="10" t="s">
        <v>91</v>
      </c>
      <c r="BY3" s="11" t="s">
        <v>92</v>
      </c>
      <c r="BZ3" s="11" t="s">
        <v>93</v>
      </c>
      <c r="CA3" s="11" t="s">
        <v>94</v>
      </c>
      <c r="CD3" s="12" t="s">
        <v>95</v>
      </c>
      <c r="CE3" s="12" t="s">
        <v>96</v>
      </c>
      <c r="CF3" s="12" t="s">
        <v>97</v>
      </c>
      <c r="CI3" s="13" t="s">
        <v>98</v>
      </c>
      <c r="CJ3" s="13" t="s">
        <v>99</v>
      </c>
    </row>
    <row r="4" spans="1:88" x14ac:dyDescent="0.2">
      <c r="A4" s="1" t="s">
        <v>100</v>
      </c>
      <c r="B4" s="1" t="s">
        <v>222</v>
      </c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  <c r="I4" s="1" t="s">
        <v>106</v>
      </c>
      <c r="J4" s="1" t="s">
        <v>106</v>
      </c>
      <c r="K4" s="1" t="s">
        <v>106</v>
      </c>
      <c r="L4" s="1" t="s">
        <v>107</v>
      </c>
      <c r="M4" s="1" t="s">
        <v>108</v>
      </c>
      <c r="N4" s="1" t="s">
        <v>109</v>
      </c>
      <c r="O4" s="1" t="s">
        <v>110</v>
      </c>
      <c r="P4" s="24" t="s">
        <v>249</v>
      </c>
      <c r="Q4" s="1" t="s">
        <v>111</v>
      </c>
      <c r="R4" s="1" t="s">
        <v>112</v>
      </c>
      <c r="S4" s="14">
        <v>104186</v>
      </c>
      <c r="T4" s="1">
        <v>31</v>
      </c>
      <c r="U4" s="14">
        <v>104186</v>
      </c>
      <c r="V4" s="1">
        <v>0</v>
      </c>
      <c r="W4" s="14">
        <v>0</v>
      </c>
      <c r="X4" s="1">
        <v>0</v>
      </c>
      <c r="Y4" s="14">
        <v>0</v>
      </c>
      <c r="Z4" s="1">
        <v>0</v>
      </c>
      <c r="AA4" s="14">
        <v>0</v>
      </c>
      <c r="AB4" s="1">
        <v>0</v>
      </c>
      <c r="AC4" s="14">
        <v>0</v>
      </c>
      <c r="AD4" s="1">
        <v>0</v>
      </c>
      <c r="AE4" s="14">
        <v>0</v>
      </c>
      <c r="AF4" s="15">
        <v>0</v>
      </c>
      <c r="AG4" s="1">
        <v>0</v>
      </c>
      <c r="AH4" s="15">
        <v>0</v>
      </c>
      <c r="AI4" s="14">
        <v>0</v>
      </c>
      <c r="AJ4" s="1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6">
        <v>0</v>
      </c>
      <c r="AS4" s="16">
        <v>0</v>
      </c>
      <c r="AT4" s="16">
        <v>10869.41</v>
      </c>
      <c r="AU4" s="16">
        <v>0</v>
      </c>
      <c r="AV4" s="16">
        <v>0</v>
      </c>
      <c r="AW4" s="16">
        <v>0</v>
      </c>
      <c r="AX4" s="1">
        <v>0</v>
      </c>
      <c r="AY4" s="16">
        <v>0</v>
      </c>
      <c r="AZ4" s="1">
        <v>0</v>
      </c>
      <c r="BA4" s="1">
        <v>0</v>
      </c>
      <c r="BB4" s="1">
        <v>0</v>
      </c>
      <c r="BC4" s="1">
        <v>0</v>
      </c>
      <c r="BD4" s="17">
        <v>0</v>
      </c>
      <c r="BE4" s="1">
        <v>0</v>
      </c>
      <c r="BF4" s="1">
        <v>0</v>
      </c>
      <c r="BG4" s="1">
        <v>0</v>
      </c>
      <c r="BH4" s="1">
        <v>0</v>
      </c>
      <c r="BI4" s="17">
        <v>0</v>
      </c>
      <c r="BJ4" s="1">
        <v>0</v>
      </c>
      <c r="BK4" s="1">
        <v>0</v>
      </c>
      <c r="BL4" s="17">
        <v>0</v>
      </c>
      <c r="BM4" s="1">
        <v>0</v>
      </c>
      <c r="BN4" s="1">
        <v>0</v>
      </c>
      <c r="BO4" s="1">
        <v>0</v>
      </c>
      <c r="BP4" s="17">
        <v>0</v>
      </c>
      <c r="BQ4" s="17">
        <v>0</v>
      </c>
      <c r="BR4" s="1">
        <v>0</v>
      </c>
      <c r="BS4" s="16">
        <v>875</v>
      </c>
      <c r="BT4" s="16">
        <v>875</v>
      </c>
      <c r="BU4" s="1">
        <v>0</v>
      </c>
      <c r="BV4" s="1">
        <v>0</v>
      </c>
      <c r="BW4" s="17">
        <v>0</v>
      </c>
      <c r="BX4" s="16">
        <v>0</v>
      </c>
      <c r="BY4" s="14">
        <v>104186</v>
      </c>
      <c r="BZ4" s="16">
        <v>11744.41</v>
      </c>
      <c r="CA4" s="14">
        <v>92441.59</v>
      </c>
      <c r="CD4" s="18">
        <f>U4+AI4-BD4-AY4</f>
        <v>104186</v>
      </c>
      <c r="CE4">
        <f>ROUND(IF(CD4&lt;=0,0,IF(CD4*5%&lt;83,83,IF(CD4*5%&gt;875,875,CD4*5%))),0)</f>
        <v>875</v>
      </c>
      <c r="CF4" s="18">
        <f>CE4-BT4</f>
        <v>0</v>
      </c>
      <c r="CI4" s="18">
        <f>U4+AE4+AP4+AI4+AK4+AL4+AM4+AN4+AO4+AQ4-BD4-AR4-AV4-AY4</f>
        <v>104186</v>
      </c>
      <c r="CJ4" s="18">
        <f>AT4</f>
        <v>10869.41</v>
      </c>
    </row>
    <row r="5" spans="1:88" x14ac:dyDescent="0.2">
      <c r="A5" s="1" t="s">
        <v>113</v>
      </c>
      <c r="B5" s="1" t="s">
        <v>223</v>
      </c>
      <c r="C5" s="1" t="s">
        <v>114</v>
      </c>
      <c r="D5" s="1" t="s">
        <v>102</v>
      </c>
      <c r="E5" s="1" t="s">
        <v>103</v>
      </c>
      <c r="F5" s="1" t="s">
        <v>104</v>
      </c>
      <c r="G5" s="1" t="s">
        <v>115</v>
      </c>
      <c r="H5" s="1" t="s">
        <v>106</v>
      </c>
      <c r="I5" s="1" t="s">
        <v>106</v>
      </c>
      <c r="J5" s="1" t="s">
        <v>106</v>
      </c>
      <c r="K5" s="1" t="s">
        <v>106</v>
      </c>
      <c r="L5" s="1" t="s">
        <v>107</v>
      </c>
      <c r="M5" s="1" t="s">
        <v>116</v>
      </c>
      <c r="N5" s="1" t="s">
        <v>109</v>
      </c>
      <c r="O5" s="1" t="s">
        <v>110</v>
      </c>
      <c r="P5" s="24" t="s">
        <v>250</v>
      </c>
      <c r="Q5" s="1" t="s">
        <v>111</v>
      </c>
      <c r="R5" s="1" t="s">
        <v>112</v>
      </c>
      <c r="S5" s="14">
        <v>81034</v>
      </c>
      <c r="T5" s="1">
        <v>31</v>
      </c>
      <c r="U5" s="14">
        <v>81034</v>
      </c>
      <c r="V5" s="1">
        <v>0</v>
      </c>
      <c r="W5" s="14">
        <v>0</v>
      </c>
      <c r="X5" s="1">
        <v>0</v>
      </c>
      <c r="Y5" s="14">
        <v>0</v>
      </c>
      <c r="Z5" s="1">
        <v>0</v>
      </c>
      <c r="AA5" s="14">
        <v>0</v>
      </c>
      <c r="AB5" s="1">
        <v>0</v>
      </c>
      <c r="AC5" s="14">
        <v>0</v>
      </c>
      <c r="AD5" s="1">
        <v>0</v>
      </c>
      <c r="AE5" s="14">
        <v>0</v>
      </c>
      <c r="AF5" s="15">
        <v>0</v>
      </c>
      <c r="AG5" s="1">
        <v>0</v>
      </c>
      <c r="AH5" s="15">
        <v>0</v>
      </c>
      <c r="AI5" s="14">
        <v>0</v>
      </c>
      <c r="AJ5" s="1">
        <v>0</v>
      </c>
      <c r="AK5" s="14">
        <v>0</v>
      </c>
      <c r="AL5" s="14">
        <v>39737</v>
      </c>
      <c r="AM5" s="14">
        <v>0</v>
      </c>
      <c r="AN5" s="14">
        <v>0</v>
      </c>
      <c r="AO5" s="14">
        <v>0</v>
      </c>
      <c r="AP5" s="14">
        <v>0</v>
      </c>
      <c r="AQ5" s="14">
        <v>50000</v>
      </c>
      <c r="AR5" s="16">
        <v>0</v>
      </c>
      <c r="AS5" s="16">
        <v>0</v>
      </c>
      <c r="AT5" s="16">
        <v>28356.67</v>
      </c>
      <c r="AU5" s="16">
        <v>0</v>
      </c>
      <c r="AV5" s="16">
        <v>0</v>
      </c>
      <c r="AW5" s="16">
        <v>0</v>
      </c>
      <c r="AX5" s="1">
        <v>0</v>
      </c>
      <c r="AY5" s="16">
        <v>0</v>
      </c>
      <c r="AZ5" s="1">
        <v>0</v>
      </c>
      <c r="BA5" s="1">
        <v>0</v>
      </c>
      <c r="BB5" s="1">
        <v>0</v>
      </c>
      <c r="BC5" s="1">
        <v>0</v>
      </c>
      <c r="BD5" s="17">
        <v>0</v>
      </c>
      <c r="BE5" s="1">
        <v>0</v>
      </c>
      <c r="BF5" s="1">
        <v>0</v>
      </c>
      <c r="BG5" s="1">
        <v>0</v>
      </c>
      <c r="BH5" s="1">
        <v>0</v>
      </c>
      <c r="BI5" s="17">
        <v>0</v>
      </c>
      <c r="BJ5" s="1">
        <v>0</v>
      </c>
      <c r="BK5" s="1">
        <v>0</v>
      </c>
      <c r="BL5" s="17">
        <v>0</v>
      </c>
      <c r="BM5" s="1">
        <v>0</v>
      </c>
      <c r="BN5" s="1">
        <v>0</v>
      </c>
      <c r="BO5" s="1">
        <v>0</v>
      </c>
      <c r="BP5" s="17">
        <v>0</v>
      </c>
      <c r="BQ5" s="17">
        <v>0</v>
      </c>
      <c r="BR5" s="1">
        <v>0</v>
      </c>
      <c r="BS5" s="16">
        <v>875</v>
      </c>
      <c r="BT5" s="16">
        <v>875</v>
      </c>
      <c r="BU5" s="1">
        <v>0</v>
      </c>
      <c r="BV5" s="1">
        <v>0</v>
      </c>
      <c r="BW5" s="17">
        <v>0</v>
      </c>
      <c r="BX5" s="16">
        <v>0</v>
      </c>
      <c r="BY5" s="14">
        <v>170771</v>
      </c>
      <c r="BZ5" s="16">
        <v>29231.67</v>
      </c>
      <c r="CA5" s="14">
        <v>141539.32999999999</v>
      </c>
      <c r="CD5" s="18">
        <f t="shared" ref="CD5:CD36" si="0">U5+AI5-BD5-AY5</f>
        <v>81034</v>
      </c>
      <c r="CE5">
        <f t="shared" ref="CE5:CE36" si="1">ROUND(IF(CD5&lt;=0,0,IF(CD5*5%&lt;83,83,IF(CD5*5%&gt;875,875,CD5*5%))),0)</f>
        <v>875</v>
      </c>
      <c r="CF5" s="18">
        <f t="shared" ref="CF5:CF36" si="2">CE5-BT5</f>
        <v>0</v>
      </c>
      <c r="CI5" s="18">
        <f t="shared" ref="CI5:CI36" si="3">U5+AE5+AP5+AI5+AK5+AL5+AM5+AN5+AO5+AQ5-BD5-AR5-AV5-AY5</f>
        <v>170771</v>
      </c>
      <c r="CJ5" s="18">
        <f t="shared" ref="CJ5:CJ36" si="4">AT5</f>
        <v>28356.67</v>
      </c>
    </row>
    <row r="6" spans="1:88" x14ac:dyDescent="0.2">
      <c r="A6" s="1" t="s">
        <v>117</v>
      </c>
      <c r="B6" s="1" t="s">
        <v>224</v>
      </c>
      <c r="C6" s="1" t="s">
        <v>118</v>
      </c>
      <c r="D6" s="1" t="s">
        <v>102</v>
      </c>
      <c r="E6" s="1" t="s">
        <v>103</v>
      </c>
      <c r="F6" s="1" t="s">
        <v>104</v>
      </c>
      <c r="G6" s="1" t="s">
        <v>119</v>
      </c>
      <c r="H6" s="1" t="s">
        <v>120</v>
      </c>
      <c r="I6" s="1" t="s">
        <v>106</v>
      </c>
      <c r="J6" s="1" t="s">
        <v>106</v>
      </c>
      <c r="K6" s="1" t="s">
        <v>106</v>
      </c>
      <c r="L6" s="1" t="s">
        <v>121</v>
      </c>
      <c r="M6" s="1" t="s">
        <v>122</v>
      </c>
      <c r="N6" s="1" t="s">
        <v>109</v>
      </c>
      <c r="O6" s="1" t="s">
        <v>110</v>
      </c>
      <c r="P6" s="24" t="s">
        <v>251</v>
      </c>
      <c r="Q6" s="1" t="s">
        <v>111</v>
      </c>
      <c r="R6" s="1" t="s">
        <v>112</v>
      </c>
      <c r="S6" s="14">
        <v>33746</v>
      </c>
      <c r="T6" s="1">
        <v>31</v>
      </c>
      <c r="U6" s="14">
        <v>33746</v>
      </c>
      <c r="V6" s="1">
        <v>0</v>
      </c>
      <c r="W6" s="14">
        <v>0</v>
      </c>
      <c r="X6" s="1">
        <v>0</v>
      </c>
      <c r="Y6" s="14">
        <v>0</v>
      </c>
      <c r="Z6" s="1">
        <v>0</v>
      </c>
      <c r="AA6" s="14">
        <v>0</v>
      </c>
      <c r="AB6" s="1">
        <v>0</v>
      </c>
      <c r="AC6" s="14">
        <v>0</v>
      </c>
      <c r="AD6" s="1">
        <v>0</v>
      </c>
      <c r="AE6" s="14">
        <v>0</v>
      </c>
      <c r="AF6" s="15">
        <v>0</v>
      </c>
      <c r="AG6" s="1">
        <v>0</v>
      </c>
      <c r="AH6" s="15">
        <v>0</v>
      </c>
      <c r="AI6" s="14">
        <v>0</v>
      </c>
      <c r="AJ6" s="1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6">
        <v>0</v>
      </c>
      <c r="AS6" s="16">
        <v>0</v>
      </c>
      <c r="AT6" s="16">
        <v>401.85</v>
      </c>
      <c r="AU6" s="16">
        <v>0</v>
      </c>
      <c r="AV6" s="16">
        <v>0</v>
      </c>
      <c r="AW6" s="16">
        <v>0</v>
      </c>
      <c r="AX6" s="1">
        <v>0</v>
      </c>
      <c r="AY6" s="16">
        <v>0</v>
      </c>
      <c r="AZ6" s="1">
        <v>0</v>
      </c>
      <c r="BA6" s="1">
        <v>0</v>
      </c>
      <c r="BB6" s="1">
        <v>0</v>
      </c>
      <c r="BC6" s="1">
        <v>0</v>
      </c>
      <c r="BD6" s="17">
        <v>0</v>
      </c>
      <c r="BE6" s="1">
        <v>0</v>
      </c>
      <c r="BF6" s="1">
        <v>0</v>
      </c>
      <c r="BG6" s="1">
        <v>0</v>
      </c>
      <c r="BH6" s="1">
        <v>0</v>
      </c>
      <c r="BI6" s="17">
        <v>0</v>
      </c>
      <c r="BJ6" s="1">
        <v>0</v>
      </c>
      <c r="BK6" s="1">
        <v>0</v>
      </c>
      <c r="BL6" s="17">
        <v>0</v>
      </c>
      <c r="BM6" s="1">
        <v>0</v>
      </c>
      <c r="BN6" s="1">
        <v>0</v>
      </c>
      <c r="BO6" s="1">
        <v>0</v>
      </c>
      <c r="BP6" s="17">
        <v>0</v>
      </c>
      <c r="BQ6" s="17">
        <v>0</v>
      </c>
      <c r="BR6" s="1">
        <v>0</v>
      </c>
      <c r="BS6" s="16">
        <v>875</v>
      </c>
      <c r="BT6" s="16">
        <v>875</v>
      </c>
      <c r="BU6" s="1">
        <v>0</v>
      </c>
      <c r="BV6" s="1">
        <v>0</v>
      </c>
      <c r="BW6" s="17">
        <v>0</v>
      </c>
      <c r="BX6" s="16">
        <v>0</v>
      </c>
      <c r="BY6" s="14">
        <v>33746</v>
      </c>
      <c r="BZ6" s="16">
        <v>1276.8499999999999</v>
      </c>
      <c r="CA6" s="14">
        <v>32469.15</v>
      </c>
      <c r="CD6" s="18">
        <f t="shared" si="0"/>
        <v>33746</v>
      </c>
      <c r="CE6">
        <f t="shared" si="1"/>
        <v>875</v>
      </c>
      <c r="CF6" s="18">
        <f t="shared" si="2"/>
        <v>0</v>
      </c>
      <c r="CI6" s="18">
        <f t="shared" si="3"/>
        <v>33746</v>
      </c>
      <c r="CJ6" s="18">
        <f t="shared" si="4"/>
        <v>401.85</v>
      </c>
    </row>
    <row r="7" spans="1:88" x14ac:dyDescent="0.2">
      <c r="A7" s="1" t="s">
        <v>123</v>
      </c>
      <c r="B7" s="1" t="s">
        <v>225</v>
      </c>
      <c r="C7" s="1" t="s">
        <v>124</v>
      </c>
      <c r="D7" s="1" t="s">
        <v>102</v>
      </c>
      <c r="E7" s="1" t="s">
        <v>103</v>
      </c>
      <c r="F7" s="1" t="s">
        <v>104</v>
      </c>
      <c r="G7" s="1" t="s">
        <v>119</v>
      </c>
      <c r="H7" s="1" t="s">
        <v>106</v>
      </c>
      <c r="I7" s="1" t="s">
        <v>106</v>
      </c>
      <c r="J7" s="1" t="s">
        <v>106</v>
      </c>
      <c r="K7" s="1" t="s">
        <v>106</v>
      </c>
      <c r="L7" s="1" t="s">
        <v>107</v>
      </c>
      <c r="M7" s="1" t="s">
        <v>125</v>
      </c>
      <c r="N7" s="1" t="s">
        <v>109</v>
      </c>
      <c r="O7" s="1" t="s">
        <v>110</v>
      </c>
      <c r="P7" s="24" t="s">
        <v>252</v>
      </c>
      <c r="Q7" s="1" t="s">
        <v>111</v>
      </c>
      <c r="R7" s="1" t="s">
        <v>112</v>
      </c>
      <c r="S7" s="14">
        <v>75246</v>
      </c>
      <c r="T7" s="1">
        <v>31</v>
      </c>
      <c r="U7" s="14">
        <v>75246</v>
      </c>
      <c r="V7" s="1">
        <v>0</v>
      </c>
      <c r="W7" s="14">
        <v>0</v>
      </c>
      <c r="X7" s="1">
        <v>0</v>
      </c>
      <c r="Y7" s="14">
        <v>0</v>
      </c>
      <c r="Z7" s="1">
        <v>0</v>
      </c>
      <c r="AA7" s="14">
        <v>0</v>
      </c>
      <c r="AB7" s="1">
        <v>0</v>
      </c>
      <c r="AC7" s="14">
        <v>0</v>
      </c>
      <c r="AD7" s="1">
        <v>0</v>
      </c>
      <c r="AE7" s="14">
        <v>0</v>
      </c>
      <c r="AF7" s="15">
        <v>0</v>
      </c>
      <c r="AG7" s="1">
        <v>0</v>
      </c>
      <c r="AH7" s="15">
        <v>0</v>
      </c>
      <c r="AI7" s="14">
        <v>0</v>
      </c>
      <c r="AJ7" s="1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6">
        <v>0</v>
      </c>
      <c r="AS7" s="16">
        <v>0</v>
      </c>
      <c r="AT7" s="16">
        <v>4897.3100000000004</v>
      </c>
      <c r="AU7" s="16">
        <v>0</v>
      </c>
      <c r="AV7" s="16">
        <v>0</v>
      </c>
      <c r="AW7" s="16">
        <v>0</v>
      </c>
      <c r="AX7" s="1">
        <v>0</v>
      </c>
      <c r="AY7" s="16">
        <v>0</v>
      </c>
      <c r="AZ7" s="1">
        <v>0</v>
      </c>
      <c r="BA7" s="1">
        <v>0</v>
      </c>
      <c r="BB7" s="1">
        <v>0</v>
      </c>
      <c r="BC7" s="1">
        <v>14</v>
      </c>
      <c r="BD7" s="17">
        <v>0</v>
      </c>
      <c r="BE7" s="1">
        <v>0</v>
      </c>
      <c r="BF7" s="1">
        <v>0</v>
      </c>
      <c r="BG7" s="1">
        <v>0</v>
      </c>
      <c r="BH7" s="1">
        <v>0</v>
      </c>
      <c r="BI7" s="17">
        <v>0</v>
      </c>
      <c r="BJ7" s="1">
        <v>0</v>
      </c>
      <c r="BK7" s="1">
        <v>0</v>
      </c>
      <c r="BL7" s="17">
        <v>0</v>
      </c>
      <c r="BM7" s="1">
        <v>0</v>
      </c>
      <c r="BN7" s="1">
        <v>0</v>
      </c>
      <c r="BO7" s="1">
        <v>0</v>
      </c>
      <c r="BP7" s="17">
        <v>0</v>
      </c>
      <c r="BQ7" s="17">
        <v>0</v>
      </c>
      <c r="BR7" s="1">
        <v>0</v>
      </c>
      <c r="BS7" s="16">
        <v>875</v>
      </c>
      <c r="BT7" s="16">
        <v>875</v>
      </c>
      <c r="BU7" s="1">
        <v>0</v>
      </c>
      <c r="BV7" s="1">
        <v>0</v>
      </c>
      <c r="BW7" s="17">
        <v>0</v>
      </c>
      <c r="BX7" s="16">
        <v>0</v>
      </c>
      <c r="BY7" s="14">
        <v>75246</v>
      </c>
      <c r="BZ7" s="16">
        <v>5772.31</v>
      </c>
      <c r="CA7" s="14">
        <v>69473.69</v>
      </c>
      <c r="CD7" s="18">
        <f t="shared" si="0"/>
        <v>75246</v>
      </c>
      <c r="CE7">
        <f t="shared" si="1"/>
        <v>875</v>
      </c>
      <c r="CF7" s="18">
        <f t="shared" si="2"/>
        <v>0</v>
      </c>
      <c r="CI7" s="18">
        <f t="shared" si="3"/>
        <v>75246</v>
      </c>
      <c r="CJ7" s="18">
        <f t="shared" si="4"/>
        <v>4897.3100000000004</v>
      </c>
    </row>
    <row r="8" spans="1:88" x14ac:dyDescent="0.2">
      <c r="A8" s="1" t="s">
        <v>126</v>
      </c>
      <c r="B8" s="1" t="s">
        <v>226</v>
      </c>
      <c r="C8" s="1" t="s">
        <v>127</v>
      </c>
      <c r="D8" s="1" t="s">
        <v>102</v>
      </c>
      <c r="E8" s="1" t="s">
        <v>103</v>
      </c>
      <c r="F8" s="1" t="s">
        <v>104</v>
      </c>
      <c r="G8" s="1" t="s">
        <v>115</v>
      </c>
      <c r="H8" s="1" t="s">
        <v>128</v>
      </c>
      <c r="I8" s="1" t="s">
        <v>106</v>
      </c>
      <c r="J8" s="1" t="s">
        <v>106</v>
      </c>
      <c r="K8" s="1" t="s">
        <v>106</v>
      </c>
      <c r="L8" s="1" t="s">
        <v>129</v>
      </c>
      <c r="M8" s="1" t="s">
        <v>130</v>
      </c>
      <c r="N8" s="1" t="s">
        <v>109</v>
      </c>
      <c r="O8" s="1" t="s">
        <v>110</v>
      </c>
      <c r="P8" s="24" t="s">
        <v>253</v>
      </c>
      <c r="Q8" s="1" t="s">
        <v>111</v>
      </c>
      <c r="R8" s="1" t="s">
        <v>112</v>
      </c>
      <c r="S8" s="14">
        <v>35132</v>
      </c>
      <c r="T8" s="1">
        <v>31</v>
      </c>
      <c r="U8" s="14">
        <v>35132</v>
      </c>
      <c r="V8" s="1">
        <v>0</v>
      </c>
      <c r="W8" s="14">
        <v>0</v>
      </c>
      <c r="X8" s="1">
        <v>0</v>
      </c>
      <c r="Y8" s="14">
        <v>0</v>
      </c>
      <c r="Z8" s="1">
        <v>0</v>
      </c>
      <c r="AA8" s="14">
        <v>0</v>
      </c>
      <c r="AB8" s="1">
        <v>0</v>
      </c>
      <c r="AC8" s="14">
        <v>0</v>
      </c>
      <c r="AD8" s="1">
        <v>0</v>
      </c>
      <c r="AE8" s="14">
        <v>0</v>
      </c>
      <c r="AF8" s="15">
        <v>0</v>
      </c>
      <c r="AG8" s="1">
        <v>0</v>
      </c>
      <c r="AH8" s="15">
        <v>0</v>
      </c>
      <c r="AI8" s="14">
        <v>0</v>
      </c>
      <c r="AJ8" s="1">
        <v>0</v>
      </c>
      <c r="AK8" s="14">
        <v>0</v>
      </c>
      <c r="AL8" s="14">
        <v>18515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6">
        <v>0</v>
      </c>
      <c r="AS8" s="16">
        <v>0</v>
      </c>
      <c r="AT8" s="16">
        <v>3142.18</v>
      </c>
      <c r="AU8" s="16">
        <v>0</v>
      </c>
      <c r="AV8" s="16">
        <v>0</v>
      </c>
      <c r="AW8" s="16">
        <v>0</v>
      </c>
      <c r="AX8" s="1">
        <v>0</v>
      </c>
      <c r="AY8" s="16">
        <v>0</v>
      </c>
      <c r="AZ8" s="1">
        <v>2</v>
      </c>
      <c r="BA8" s="1">
        <v>0</v>
      </c>
      <c r="BB8" s="1">
        <v>2</v>
      </c>
      <c r="BC8" s="1">
        <v>3</v>
      </c>
      <c r="BD8" s="17">
        <v>0</v>
      </c>
      <c r="BE8" s="1">
        <v>0</v>
      </c>
      <c r="BF8" s="1">
        <v>0</v>
      </c>
      <c r="BG8" s="1">
        <v>0</v>
      </c>
      <c r="BH8" s="1">
        <v>0</v>
      </c>
      <c r="BI8" s="17">
        <v>0</v>
      </c>
      <c r="BJ8" s="1">
        <v>0</v>
      </c>
      <c r="BK8" s="1">
        <v>0</v>
      </c>
      <c r="BL8" s="17">
        <v>3513</v>
      </c>
      <c r="BM8" s="1">
        <v>0</v>
      </c>
      <c r="BN8" s="1">
        <v>0</v>
      </c>
      <c r="BO8" s="1">
        <v>0</v>
      </c>
      <c r="BP8" s="17">
        <v>0</v>
      </c>
      <c r="BQ8" s="17">
        <v>0</v>
      </c>
      <c r="BR8" s="1">
        <v>0</v>
      </c>
      <c r="BS8" s="16">
        <v>875</v>
      </c>
      <c r="BT8" s="16">
        <v>875</v>
      </c>
      <c r="BU8" s="1">
        <v>0</v>
      </c>
      <c r="BV8" s="1">
        <v>0</v>
      </c>
      <c r="BW8" s="17">
        <v>0</v>
      </c>
      <c r="BX8" s="16">
        <v>0</v>
      </c>
      <c r="BY8" s="14">
        <v>53647</v>
      </c>
      <c r="BZ8" s="16">
        <v>7530.18</v>
      </c>
      <c r="CA8" s="14">
        <v>46116.82</v>
      </c>
      <c r="CD8" s="18">
        <f t="shared" si="0"/>
        <v>35132</v>
      </c>
      <c r="CE8">
        <f t="shared" si="1"/>
        <v>875</v>
      </c>
      <c r="CF8" s="18">
        <f t="shared" si="2"/>
        <v>0</v>
      </c>
      <c r="CI8" s="18">
        <f t="shared" si="3"/>
        <v>53647</v>
      </c>
      <c r="CJ8" s="18">
        <f t="shared" si="4"/>
        <v>3142.18</v>
      </c>
    </row>
    <row r="9" spans="1:88" x14ac:dyDescent="0.2">
      <c r="A9" s="1" t="s">
        <v>131</v>
      </c>
      <c r="B9" s="1" t="s">
        <v>227</v>
      </c>
      <c r="C9" s="1" t="s">
        <v>132</v>
      </c>
      <c r="D9" s="1" t="s">
        <v>102</v>
      </c>
      <c r="E9" s="1" t="s">
        <v>103</v>
      </c>
      <c r="F9" s="1" t="s">
        <v>104</v>
      </c>
      <c r="G9" s="1" t="s">
        <v>115</v>
      </c>
      <c r="H9" s="1" t="s">
        <v>128</v>
      </c>
      <c r="I9" s="1" t="s">
        <v>106</v>
      </c>
      <c r="J9" s="1" t="s">
        <v>106</v>
      </c>
      <c r="K9" s="1" t="s">
        <v>106</v>
      </c>
      <c r="L9" s="1" t="s">
        <v>121</v>
      </c>
      <c r="M9" s="1" t="s">
        <v>133</v>
      </c>
      <c r="N9" s="1" t="s">
        <v>109</v>
      </c>
      <c r="O9" s="1" t="s">
        <v>110</v>
      </c>
      <c r="P9" s="24" t="s">
        <v>254</v>
      </c>
      <c r="Q9" s="1" t="s">
        <v>111</v>
      </c>
      <c r="R9" s="1" t="s">
        <v>112</v>
      </c>
      <c r="S9" s="14">
        <v>39240</v>
      </c>
      <c r="T9" s="1">
        <v>31</v>
      </c>
      <c r="U9" s="14">
        <v>39240</v>
      </c>
      <c r="V9" s="1">
        <v>0</v>
      </c>
      <c r="W9" s="14">
        <v>0</v>
      </c>
      <c r="X9" s="1">
        <v>0</v>
      </c>
      <c r="Y9" s="14">
        <v>0</v>
      </c>
      <c r="Z9" s="1">
        <v>0</v>
      </c>
      <c r="AA9" s="14">
        <v>0</v>
      </c>
      <c r="AB9" s="1">
        <v>0</v>
      </c>
      <c r="AC9" s="14">
        <v>0</v>
      </c>
      <c r="AD9" s="1">
        <v>0</v>
      </c>
      <c r="AE9" s="14">
        <v>0</v>
      </c>
      <c r="AF9" s="15">
        <v>0</v>
      </c>
      <c r="AG9" s="1">
        <v>0</v>
      </c>
      <c r="AH9" s="15">
        <v>0</v>
      </c>
      <c r="AI9" s="14">
        <v>0</v>
      </c>
      <c r="AJ9" s="1">
        <v>0</v>
      </c>
      <c r="AK9" s="14">
        <v>0</v>
      </c>
      <c r="AL9" s="14">
        <v>8814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6">
        <v>0</v>
      </c>
      <c r="AS9" s="16">
        <v>0</v>
      </c>
      <c r="AT9" s="16">
        <v>1422.06</v>
      </c>
      <c r="AU9" s="16">
        <v>0</v>
      </c>
      <c r="AV9" s="16">
        <v>0</v>
      </c>
      <c r="AW9" s="16">
        <v>0</v>
      </c>
      <c r="AX9" s="1">
        <v>0</v>
      </c>
      <c r="AY9" s="16">
        <v>0</v>
      </c>
      <c r="AZ9" s="1">
        <v>0</v>
      </c>
      <c r="BA9" s="1">
        <v>0</v>
      </c>
      <c r="BB9" s="1">
        <v>0</v>
      </c>
      <c r="BC9" s="1">
        <v>0</v>
      </c>
      <c r="BD9" s="17">
        <v>0</v>
      </c>
      <c r="BE9" s="1">
        <v>0</v>
      </c>
      <c r="BF9" s="1">
        <v>0</v>
      </c>
      <c r="BG9" s="1">
        <v>0</v>
      </c>
      <c r="BH9" s="1">
        <v>0</v>
      </c>
      <c r="BI9" s="17">
        <v>0</v>
      </c>
      <c r="BJ9" s="1">
        <v>0</v>
      </c>
      <c r="BK9" s="1">
        <v>0</v>
      </c>
      <c r="BL9" s="17">
        <v>0</v>
      </c>
      <c r="BM9" s="1">
        <v>0</v>
      </c>
      <c r="BN9" s="1">
        <v>0</v>
      </c>
      <c r="BO9" s="1">
        <v>0</v>
      </c>
      <c r="BP9" s="17">
        <v>0</v>
      </c>
      <c r="BQ9" s="17">
        <v>0</v>
      </c>
      <c r="BR9" s="1">
        <v>0</v>
      </c>
      <c r="BS9" s="16">
        <v>875</v>
      </c>
      <c r="BT9" s="16">
        <v>875</v>
      </c>
      <c r="BU9" s="1">
        <v>0</v>
      </c>
      <c r="BV9" s="1">
        <v>0</v>
      </c>
      <c r="BW9" s="17">
        <v>0</v>
      </c>
      <c r="BX9" s="16">
        <v>0</v>
      </c>
      <c r="BY9" s="14">
        <v>48054</v>
      </c>
      <c r="BZ9" s="16">
        <v>2297.06</v>
      </c>
      <c r="CA9" s="14">
        <v>45756.94</v>
      </c>
      <c r="CD9" s="18">
        <f t="shared" si="0"/>
        <v>39240</v>
      </c>
      <c r="CE9">
        <f t="shared" si="1"/>
        <v>875</v>
      </c>
      <c r="CF9" s="18">
        <f t="shared" si="2"/>
        <v>0</v>
      </c>
      <c r="CI9" s="18">
        <f t="shared" si="3"/>
        <v>48054</v>
      </c>
      <c r="CJ9" s="18">
        <f t="shared" si="4"/>
        <v>1422.06</v>
      </c>
    </row>
    <row r="10" spans="1:88" x14ac:dyDescent="0.2">
      <c r="A10" s="1" t="s">
        <v>134</v>
      </c>
      <c r="B10" s="1" t="s">
        <v>228</v>
      </c>
      <c r="C10" s="1" t="s">
        <v>135</v>
      </c>
      <c r="D10" s="1" t="s">
        <v>102</v>
      </c>
      <c r="E10" s="1" t="s">
        <v>103</v>
      </c>
      <c r="F10" s="1" t="s">
        <v>104</v>
      </c>
      <c r="G10" s="1" t="s">
        <v>115</v>
      </c>
      <c r="H10" s="1" t="s">
        <v>128</v>
      </c>
      <c r="I10" s="1" t="s">
        <v>106</v>
      </c>
      <c r="J10" s="1" t="s">
        <v>106</v>
      </c>
      <c r="K10" s="1" t="s">
        <v>106</v>
      </c>
      <c r="L10" s="1" t="s">
        <v>129</v>
      </c>
      <c r="M10" s="1" t="s">
        <v>130</v>
      </c>
      <c r="N10" s="1" t="s">
        <v>109</v>
      </c>
      <c r="O10" s="1" t="s">
        <v>110</v>
      </c>
      <c r="P10" s="24" t="s">
        <v>252</v>
      </c>
      <c r="Q10" s="1" t="s">
        <v>111</v>
      </c>
      <c r="R10" s="1" t="s">
        <v>112</v>
      </c>
      <c r="S10" s="14">
        <v>40093</v>
      </c>
      <c r="T10" s="1">
        <v>31</v>
      </c>
      <c r="U10" s="14">
        <v>40093</v>
      </c>
      <c r="V10" s="1">
        <v>0</v>
      </c>
      <c r="W10" s="14">
        <v>0</v>
      </c>
      <c r="X10" s="1">
        <v>0</v>
      </c>
      <c r="Y10" s="14">
        <v>0</v>
      </c>
      <c r="Z10" s="1">
        <v>0</v>
      </c>
      <c r="AA10" s="14">
        <v>0</v>
      </c>
      <c r="AB10" s="1">
        <v>0</v>
      </c>
      <c r="AC10" s="14">
        <v>0</v>
      </c>
      <c r="AD10" s="1">
        <v>0</v>
      </c>
      <c r="AE10" s="14">
        <v>0</v>
      </c>
      <c r="AF10" s="15">
        <v>0</v>
      </c>
      <c r="AG10" s="1">
        <v>0</v>
      </c>
      <c r="AH10" s="15">
        <v>0</v>
      </c>
      <c r="AI10" s="14">
        <v>0</v>
      </c>
      <c r="AJ10" s="1">
        <v>0</v>
      </c>
      <c r="AK10" s="14">
        <v>0</v>
      </c>
      <c r="AL10" s="14">
        <v>5160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6">
        <v>0</v>
      </c>
      <c r="AS10" s="16">
        <v>0</v>
      </c>
      <c r="AT10" s="16">
        <v>1191.96</v>
      </c>
      <c r="AU10" s="16">
        <v>0</v>
      </c>
      <c r="AV10" s="16">
        <v>0</v>
      </c>
      <c r="AW10" s="16">
        <v>0</v>
      </c>
      <c r="AX10" s="1">
        <v>0</v>
      </c>
      <c r="AY10" s="16">
        <v>0</v>
      </c>
      <c r="AZ10" s="1">
        <v>0</v>
      </c>
      <c r="BA10" s="1">
        <v>0</v>
      </c>
      <c r="BB10" s="1">
        <v>0</v>
      </c>
      <c r="BC10" s="1">
        <v>0</v>
      </c>
      <c r="BD10" s="17">
        <v>0</v>
      </c>
      <c r="BE10" s="1">
        <v>0</v>
      </c>
      <c r="BF10" s="1">
        <v>0</v>
      </c>
      <c r="BG10" s="1">
        <v>0</v>
      </c>
      <c r="BH10" s="1">
        <v>0</v>
      </c>
      <c r="BI10" s="17">
        <v>0</v>
      </c>
      <c r="BJ10" s="1">
        <v>0</v>
      </c>
      <c r="BK10" s="1">
        <v>0</v>
      </c>
      <c r="BL10" s="17">
        <v>0</v>
      </c>
      <c r="BM10" s="1">
        <v>0</v>
      </c>
      <c r="BN10" s="1">
        <v>0</v>
      </c>
      <c r="BO10" s="1">
        <v>0</v>
      </c>
      <c r="BP10" s="17">
        <v>0</v>
      </c>
      <c r="BQ10" s="17">
        <v>0</v>
      </c>
      <c r="BR10" s="1">
        <v>0</v>
      </c>
      <c r="BS10" s="16">
        <v>875</v>
      </c>
      <c r="BT10" s="16">
        <v>875</v>
      </c>
      <c r="BU10" s="1">
        <v>0</v>
      </c>
      <c r="BV10" s="1">
        <v>0</v>
      </c>
      <c r="BW10" s="17">
        <v>0</v>
      </c>
      <c r="BX10" s="16">
        <v>0</v>
      </c>
      <c r="BY10" s="14">
        <v>45253</v>
      </c>
      <c r="BZ10" s="16">
        <v>2066.96</v>
      </c>
      <c r="CA10" s="14">
        <v>43186.04</v>
      </c>
      <c r="CD10" s="18">
        <f t="shared" si="0"/>
        <v>40093</v>
      </c>
      <c r="CE10">
        <f t="shared" si="1"/>
        <v>875</v>
      </c>
      <c r="CF10" s="18">
        <f t="shared" si="2"/>
        <v>0</v>
      </c>
      <c r="CI10" s="18">
        <f t="shared" si="3"/>
        <v>45253</v>
      </c>
      <c r="CJ10" s="18">
        <f t="shared" si="4"/>
        <v>1191.96</v>
      </c>
    </row>
    <row r="11" spans="1:88" x14ac:dyDescent="0.2">
      <c r="A11" s="1" t="s">
        <v>136</v>
      </c>
      <c r="B11" s="1" t="s">
        <v>229</v>
      </c>
      <c r="C11" s="1" t="s">
        <v>137</v>
      </c>
      <c r="D11" s="1" t="s">
        <v>102</v>
      </c>
      <c r="E11" s="1" t="s">
        <v>103</v>
      </c>
      <c r="F11" s="1" t="s">
        <v>104</v>
      </c>
      <c r="G11" s="1" t="s">
        <v>138</v>
      </c>
      <c r="H11" s="1" t="s">
        <v>139</v>
      </c>
      <c r="I11" s="1" t="s">
        <v>106</v>
      </c>
      <c r="J11" s="1" t="s">
        <v>106</v>
      </c>
      <c r="K11" s="1" t="s">
        <v>106</v>
      </c>
      <c r="L11" s="1" t="s">
        <v>121</v>
      </c>
      <c r="M11" s="1" t="s">
        <v>140</v>
      </c>
      <c r="N11" s="1" t="s">
        <v>109</v>
      </c>
      <c r="O11" s="1" t="s">
        <v>110</v>
      </c>
      <c r="P11" s="24" t="s">
        <v>255</v>
      </c>
      <c r="Q11" s="1" t="s">
        <v>111</v>
      </c>
      <c r="R11" s="1" t="s">
        <v>112</v>
      </c>
      <c r="S11" s="14">
        <v>41520</v>
      </c>
      <c r="T11" s="1">
        <v>31</v>
      </c>
      <c r="U11" s="14">
        <v>41520</v>
      </c>
      <c r="V11" s="1">
        <v>0</v>
      </c>
      <c r="W11" s="14">
        <v>0</v>
      </c>
      <c r="X11" s="1">
        <v>0</v>
      </c>
      <c r="Y11" s="14">
        <v>0</v>
      </c>
      <c r="Z11" s="1">
        <v>0</v>
      </c>
      <c r="AA11" s="14">
        <v>0</v>
      </c>
      <c r="AB11" s="1">
        <v>0</v>
      </c>
      <c r="AC11" s="14">
        <v>0</v>
      </c>
      <c r="AD11" s="1">
        <v>0</v>
      </c>
      <c r="AE11" s="14">
        <v>0</v>
      </c>
      <c r="AF11" s="15">
        <v>0</v>
      </c>
      <c r="AG11" s="1">
        <v>0</v>
      </c>
      <c r="AH11" s="15">
        <v>0</v>
      </c>
      <c r="AI11" s="14">
        <v>0</v>
      </c>
      <c r="AJ11" s="1">
        <v>0</v>
      </c>
      <c r="AK11" s="14">
        <v>500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6">
        <v>0</v>
      </c>
      <c r="AS11" s="16">
        <v>0</v>
      </c>
      <c r="AT11" s="16">
        <v>818.66</v>
      </c>
      <c r="AU11" s="16">
        <v>0</v>
      </c>
      <c r="AV11" s="16">
        <v>0</v>
      </c>
      <c r="AW11" s="16">
        <v>0</v>
      </c>
      <c r="AX11" s="1">
        <v>0</v>
      </c>
      <c r="AY11" s="16">
        <v>0</v>
      </c>
      <c r="AZ11" s="1">
        <v>0</v>
      </c>
      <c r="BA11" s="1">
        <v>0</v>
      </c>
      <c r="BB11" s="1">
        <v>0</v>
      </c>
      <c r="BC11" s="1">
        <v>0</v>
      </c>
      <c r="BD11" s="17">
        <v>0</v>
      </c>
      <c r="BE11" s="1">
        <v>0</v>
      </c>
      <c r="BF11" s="1">
        <v>0</v>
      </c>
      <c r="BG11" s="1">
        <v>0</v>
      </c>
      <c r="BH11" s="1">
        <v>0</v>
      </c>
      <c r="BI11" s="17">
        <v>0</v>
      </c>
      <c r="BJ11" s="1">
        <v>0</v>
      </c>
      <c r="BK11" s="1">
        <v>0</v>
      </c>
      <c r="BL11" s="17">
        <v>692</v>
      </c>
      <c r="BM11" s="1">
        <v>0</v>
      </c>
      <c r="BN11" s="1">
        <v>0</v>
      </c>
      <c r="BO11" s="1">
        <v>0</v>
      </c>
      <c r="BP11" s="17">
        <v>0</v>
      </c>
      <c r="BQ11" s="17">
        <v>0</v>
      </c>
      <c r="BR11" s="1">
        <v>0</v>
      </c>
      <c r="BS11" s="16">
        <v>875</v>
      </c>
      <c r="BT11" s="16">
        <v>875</v>
      </c>
      <c r="BU11" s="1">
        <v>0</v>
      </c>
      <c r="BV11" s="1">
        <v>0</v>
      </c>
      <c r="BW11" s="17">
        <v>0</v>
      </c>
      <c r="BX11" s="16">
        <v>0</v>
      </c>
      <c r="BY11" s="14">
        <v>42020</v>
      </c>
      <c r="BZ11" s="16">
        <v>2385.66</v>
      </c>
      <c r="CA11" s="14">
        <v>39634.339999999997</v>
      </c>
      <c r="CD11" s="18">
        <f t="shared" si="0"/>
        <v>41520</v>
      </c>
      <c r="CE11">
        <f t="shared" si="1"/>
        <v>875</v>
      </c>
      <c r="CF11" s="18">
        <f t="shared" si="2"/>
        <v>0</v>
      </c>
      <c r="CI11" s="18">
        <f t="shared" si="3"/>
        <v>42020</v>
      </c>
      <c r="CJ11" s="18">
        <f t="shared" si="4"/>
        <v>818.66</v>
      </c>
    </row>
    <row r="12" spans="1:88" x14ac:dyDescent="0.2">
      <c r="A12" s="1" t="s">
        <v>141</v>
      </c>
      <c r="B12" s="1" t="s">
        <v>230</v>
      </c>
      <c r="C12" s="1" t="s">
        <v>142</v>
      </c>
      <c r="D12" s="1" t="s">
        <v>102</v>
      </c>
      <c r="E12" s="1" t="s">
        <v>103</v>
      </c>
      <c r="F12" s="1" t="s">
        <v>104</v>
      </c>
      <c r="G12" s="1" t="s">
        <v>119</v>
      </c>
      <c r="H12" s="1" t="s">
        <v>143</v>
      </c>
      <c r="I12" s="1" t="s">
        <v>106</v>
      </c>
      <c r="J12" s="1" t="s">
        <v>106</v>
      </c>
      <c r="K12" s="1" t="s">
        <v>106</v>
      </c>
      <c r="L12" s="1" t="s">
        <v>144</v>
      </c>
      <c r="M12" s="1" t="s">
        <v>145</v>
      </c>
      <c r="N12" s="1" t="s">
        <v>109</v>
      </c>
      <c r="O12" s="1" t="s">
        <v>110</v>
      </c>
      <c r="P12" s="24" t="s">
        <v>256</v>
      </c>
      <c r="Q12" s="1" t="s">
        <v>111</v>
      </c>
      <c r="R12" s="1" t="s">
        <v>112</v>
      </c>
      <c r="S12" s="14">
        <v>21995</v>
      </c>
      <c r="T12" s="1">
        <v>31</v>
      </c>
      <c r="U12" s="14">
        <v>21995</v>
      </c>
      <c r="V12" s="1">
        <v>0</v>
      </c>
      <c r="W12" s="14">
        <v>0</v>
      </c>
      <c r="X12" s="1">
        <v>0</v>
      </c>
      <c r="Y12" s="14">
        <v>0</v>
      </c>
      <c r="Z12" s="1">
        <v>0</v>
      </c>
      <c r="AA12" s="14">
        <v>0</v>
      </c>
      <c r="AB12" s="1">
        <v>0</v>
      </c>
      <c r="AC12" s="14">
        <v>0</v>
      </c>
      <c r="AD12" s="1">
        <v>0</v>
      </c>
      <c r="AE12" s="14">
        <v>0</v>
      </c>
      <c r="AF12" s="15">
        <v>0</v>
      </c>
      <c r="AG12" s="1">
        <v>0</v>
      </c>
      <c r="AH12" s="15">
        <v>0</v>
      </c>
      <c r="AI12" s="14">
        <v>0</v>
      </c>
      <c r="AJ12" s="1">
        <v>0</v>
      </c>
      <c r="AK12" s="14">
        <v>500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">
        <v>0</v>
      </c>
      <c r="AY12" s="16">
        <v>0</v>
      </c>
      <c r="AZ12" s="1">
        <v>0</v>
      </c>
      <c r="BA12" s="1">
        <v>0</v>
      </c>
      <c r="BB12" s="1">
        <v>0</v>
      </c>
      <c r="BC12" s="1">
        <v>0</v>
      </c>
      <c r="BD12" s="17">
        <v>0</v>
      </c>
      <c r="BE12" s="1">
        <v>0</v>
      </c>
      <c r="BF12" s="1">
        <v>0</v>
      </c>
      <c r="BG12" s="1">
        <v>0</v>
      </c>
      <c r="BH12" s="1">
        <v>0</v>
      </c>
      <c r="BI12" s="17">
        <v>0</v>
      </c>
      <c r="BJ12" s="1">
        <v>0</v>
      </c>
      <c r="BK12" s="1">
        <v>0</v>
      </c>
      <c r="BL12" s="17">
        <v>0</v>
      </c>
      <c r="BM12" s="1">
        <v>0</v>
      </c>
      <c r="BN12" s="1">
        <v>0</v>
      </c>
      <c r="BO12" s="1">
        <v>0</v>
      </c>
      <c r="BP12" s="17">
        <v>0</v>
      </c>
      <c r="BQ12" s="17">
        <v>0</v>
      </c>
      <c r="BR12" s="1">
        <v>0</v>
      </c>
      <c r="BS12" s="16">
        <v>875</v>
      </c>
      <c r="BT12" s="16">
        <v>875</v>
      </c>
      <c r="BU12" s="1">
        <v>0</v>
      </c>
      <c r="BV12" s="1">
        <v>0</v>
      </c>
      <c r="BW12" s="17">
        <v>0</v>
      </c>
      <c r="BX12" s="16">
        <v>0</v>
      </c>
      <c r="BY12" s="14">
        <v>22495</v>
      </c>
      <c r="BZ12" s="16">
        <v>875</v>
      </c>
      <c r="CA12" s="14">
        <v>21620</v>
      </c>
      <c r="CD12" s="18">
        <f t="shared" si="0"/>
        <v>21995</v>
      </c>
      <c r="CE12">
        <f t="shared" si="1"/>
        <v>875</v>
      </c>
      <c r="CF12" s="18">
        <f t="shared" si="2"/>
        <v>0</v>
      </c>
      <c r="CI12" s="18">
        <f t="shared" si="3"/>
        <v>22495</v>
      </c>
      <c r="CJ12" s="18">
        <f t="shared" si="4"/>
        <v>0</v>
      </c>
    </row>
    <row r="13" spans="1:88" x14ac:dyDescent="0.2">
      <c r="A13" s="1" t="s">
        <v>146</v>
      </c>
      <c r="B13" s="1" t="s">
        <v>231</v>
      </c>
      <c r="C13" s="1" t="s">
        <v>147</v>
      </c>
      <c r="D13" s="1" t="s">
        <v>102</v>
      </c>
      <c r="E13" s="1" t="s">
        <v>103</v>
      </c>
      <c r="F13" s="1" t="s">
        <v>104</v>
      </c>
      <c r="G13" s="1" t="s">
        <v>119</v>
      </c>
      <c r="H13" s="1" t="s">
        <v>143</v>
      </c>
      <c r="I13" s="1" t="s">
        <v>106</v>
      </c>
      <c r="J13" s="1" t="s">
        <v>106</v>
      </c>
      <c r="K13" s="1" t="s">
        <v>106</v>
      </c>
      <c r="L13" s="1" t="s">
        <v>144</v>
      </c>
      <c r="M13" s="1" t="s">
        <v>145</v>
      </c>
      <c r="N13" s="1" t="s">
        <v>109</v>
      </c>
      <c r="O13" s="1" t="s">
        <v>110</v>
      </c>
      <c r="P13" s="24" t="s">
        <v>257</v>
      </c>
      <c r="Q13" s="1" t="s">
        <v>111</v>
      </c>
      <c r="R13" s="1" t="s">
        <v>112</v>
      </c>
      <c r="S13" s="14">
        <v>21232</v>
      </c>
      <c r="T13" s="1">
        <v>31</v>
      </c>
      <c r="U13" s="14">
        <v>21232</v>
      </c>
      <c r="V13" s="1">
        <v>0</v>
      </c>
      <c r="W13" s="14">
        <v>0</v>
      </c>
      <c r="X13" s="1">
        <v>0</v>
      </c>
      <c r="Y13" s="14">
        <v>0</v>
      </c>
      <c r="Z13" s="1">
        <v>0</v>
      </c>
      <c r="AA13" s="14">
        <v>0</v>
      </c>
      <c r="AB13" s="1">
        <v>0</v>
      </c>
      <c r="AC13" s="14">
        <v>0</v>
      </c>
      <c r="AD13" s="1">
        <v>0</v>
      </c>
      <c r="AE13" s="14">
        <v>0</v>
      </c>
      <c r="AF13" s="15">
        <v>0</v>
      </c>
      <c r="AG13" s="1">
        <v>0</v>
      </c>
      <c r="AH13" s="15">
        <v>0</v>
      </c>
      <c r="AI13" s="14">
        <v>0</v>
      </c>
      <c r="AJ13" s="1">
        <v>0</v>
      </c>
      <c r="AK13" s="14">
        <v>500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">
        <v>0</v>
      </c>
      <c r="AY13" s="16">
        <v>0</v>
      </c>
      <c r="AZ13" s="1">
        <v>0</v>
      </c>
      <c r="BA13" s="1">
        <v>0</v>
      </c>
      <c r="BB13" s="1">
        <v>0</v>
      </c>
      <c r="BC13" s="1">
        <v>0</v>
      </c>
      <c r="BD13" s="17">
        <v>0</v>
      </c>
      <c r="BE13" s="1">
        <v>0</v>
      </c>
      <c r="BF13" s="1">
        <v>0</v>
      </c>
      <c r="BG13" s="1">
        <v>0</v>
      </c>
      <c r="BH13" s="1">
        <v>0</v>
      </c>
      <c r="BI13" s="17">
        <v>0</v>
      </c>
      <c r="BJ13" s="1">
        <v>0</v>
      </c>
      <c r="BK13" s="1">
        <v>0</v>
      </c>
      <c r="BL13" s="17">
        <v>0</v>
      </c>
      <c r="BM13" s="1">
        <v>0</v>
      </c>
      <c r="BN13" s="1">
        <v>0</v>
      </c>
      <c r="BO13" s="1">
        <v>0</v>
      </c>
      <c r="BP13" s="17">
        <v>0</v>
      </c>
      <c r="BQ13" s="17">
        <v>0</v>
      </c>
      <c r="BR13" s="1">
        <v>0</v>
      </c>
      <c r="BS13" s="16">
        <v>875</v>
      </c>
      <c r="BT13" s="16">
        <v>875</v>
      </c>
      <c r="BU13" s="1">
        <v>0</v>
      </c>
      <c r="BV13" s="1">
        <v>0</v>
      </c>
      <c r="BW13" s="17">
        <v>0</v>
      </c>
      <c r="BX13" s="16">
        <v>0</v>
      </c>
      <c r="BY13" s="14">
        <v>21732</v>
      </c>
      <c r="BZ13" s="16">
        <v>875</v>
      </c>
      <c r="CA13" s="14">
        <v>20857</v>
      </c>
      <c r="CD13" s="18">
        <f t="shared" si="0"/>
        <v>21232</v>
      </c>
      <c r="CE13">
        <f t="shared" si="1"/>
        <v>875</v>
      </c>
      <c r="CF13" s="18">
        <f t="shared" si="2"/>
        <v>0</v>
      </c>
      <c r="CI13" s="18">
        <f t="shared" si="3"/>
        <v>21732</v>
      </c>
      <c r="CJ13" s="18">
        <f t="shared" si="4"/>
        <v>0</v>
      </c>
    </row>
    <row r="14" spans="1:88" x14ac:dyDescent="0.2">
      <c r="A14" s="1" t="s">
        <v>148</v>
      </c>
      <c r="B14" s="1" t="s">
        <v>232</v>
      </c>
      <c r="C14" s="1" t="s">
        <v>149</v>
      </c>
      <c r="D14" s="1" t="s">
        <v>102</v>
      </c>
      <c r="E14" s="1" t="s">
        <v>103</v>
      </c>
      <c r="F14" s="1" t="s">
        <v>104</v>
      </c>
      <c r="G14" s="1" t="s">
        <v>150</v>
      </c>
      <c r="H14" s="1" t="s">
        <v>151</v>
      </c>
      <c r="I14" s="1" t="s">
        <v>106</v>
      </c>
      <c r="J14" s="1" t="s">
        <v>106</v>
      </c>
      <c r="K14" s="1" t="s">
        <v>106</v>
      </c>
      <c r="L14" s="1" t="s">
        <v>129</v>
      </c>
      <c r="M14" s="1" t="s">
        <v>152</v>
      </c>
      <c r="N14" s="1" t="s">
        <v>109</v>
      </c>
      <c r="O14" s="1" t="s">
        <v>110</v>
      </c>
      <c r="P14" s="24" t="s">
        <v>258</v>
      </c>
      <c r="Q14" s="1" t="s">
        <v>111</v>
      </c>
      <c r="R14" s="1" t="s">
        <v>112</v>
      </c>
      <c r="S14" s="14">
        <v>57881</v>
      </c>
      <c r="T14" s="1">
        <v>31</v>
      </c>
      <c r="U14" s="14">
        <v>57881</v>
      </c>
      <c r="V14" s="1">
        <v>0</v>
      </c>
      <c r="W14" s="14">
        <v>0</v>
      </c>
      <c r="X14" s="1">
        <v>0</v>
      </c>
      <c r="Y14" s="14">
        <v>0</v>
      </c>
      <c r="Z14" s="1">
        <v>0</v>
      </c>
      <c r="AA14" s="14">
        <v>0</v>
      </c>
      <c r="AB14" s="1">
        <v>0</v>
      </c>
      <c r="AC14" s="14">
        <v>0</v>
      </c>
      <c r="AD14" s="1">
        <v>0</v>
      </c>
      <c r="AE14" s="14">
        <v>0</v>
      </c>
      <c r="AF14" s="15">
        <v>0</v>
      </c>
      <c r="AG14" s="1">
        <v>0</v>
      </c>
      <c r="AH14" s="15">
        <v>0</v>
      </c>
      <c r="AI14" s="14">
        <v>0</v>
      </c>
      <c r="AJ14" s="1">
        <v>0</v>
      </c>
      <c r="AK14" s="14">
        <v>500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6">
        <v>0</v>
      </c>
      <c r="AS14" s="16">
        <v>0</v>
      </c>
      <c r="AT14" s="16">
        <v>2536.31</v>
      </c>
      <c r="AU14" s="16">
        <v>0</v>
      </c>
      <c r="AV14" s="16">
        <v>0</v>
      </c>
      <c r="AW14" s="16">
        <v>0</v>
      </c>
      <c r="AX14" s="1">
        <v>0</v>
      </c>
      <c r="AY14" s="16">
        <v>0</v>
      </c>
      <c r="AZ14" s="1">
        <v>0</v>
      </c>
      <c r="BA14" s="1">
        <v>0</v>
      </c>
      <c r="BB14" s="1">
        <v>0</v>
      </c>
      <c r="BC14" s="1">
        <v>1</v>
      </c>
      <c r="BD14" s="17">
        <v>0</v>
      </c>
      <c r="BE14" s="1">
        <v>0</v>
      </c>
      <c r="BF14" s="1">
        <v>0</v>
      </c>
      <c r="BG14" s="1">
        <v>0</v>
      </c>
      <c r="BH14" s="1">
        <v>0</v>
      </c>
      <c r="BI14" s="17">
        <v>0</v>
      </c>
      <c r="BJ14" s="1">
        <v>0</v>
      </c>
      <c r="BK14" s="1">
        <v>0</v>
      </c>
      <c r="BL14" s="17">
        <v>965</v>
      </c>
      <c r="BM14" s="1">
        <v>0</v>
      </c>
      <c r="BN14" s="1">
        <v>0</v>
      </c>
      <c r="BO14" s="1">
        <v>0</v>
      </c>
      <c r="BP14" s="17">
        <v>0</v>
      </c>
      <c r="BQ14" s="17">
        <v>0</v>
      </c>
      <c r="BR14" s="1">
        <v>0</v>
      </c>
      <c r="BS14" s="16">
        <v>875</v>
      </c>
      <c r="BT14" s="16">
        <v>875</v>
      </c>
      <c r="BU14" s="1">
        <v>0</v>
      </c>
      <c r="BV14" s="1">
        <v>0</v>
      </c>
      <c r="BW14" s="17">
        <v>0</v>
      </c>
      <c r="BX14" s="16">
        <v>0</v>
      </c>
      <c r="BY14" s="14">
        <v>58381</v>
      </c>
      <c r="BZ14" s="16">
        <v>4376.3100000000004</v>
      </c>
      <c r="CA14" s="14">
        <v>54004.69</v>
      </c>
      <c r="CD14" s="18">
        <f t="shared" si="0"/>
        <v>57881</v>
      </c>
      <c r="CE14">
        <f t="shared" si="1"/>
        <v>875</v>
      </c>
      <c r="CF14" s="18">
        <f t="shared" si="2"/>
        <v>0</v>
      </c>
      <c r="CI14" s="18">
        <f t="shared" si="3"/>
        <v>58381</v>
      </c>
      <c r="CJ14" s="18">
        <f t="shared" si="4"/>
        <v>2536.31</v>
      </c>
    </row>
    <row r="15" spans="1:88" x14ac:dyDescent="0.2">
      <c r="A15" s="1" t="s">
        <v>153</v>
      </c>
      <c r="B15" s="1" t="s">
        <v>233</v>
      </c>
      <c r="C15" s="1" t="s">
        <v>154</v>
      </c>
      <c r="D15" s="1" t="s">
        <v>102</v>
      </c>
      <c r="E15" s="1" t="s">
        <v>103</v>
      </c>
      <c r="F15" s="1" t="s">
        <v>104</v>
      </c>
      <c r="G15" s="1" t="s">
        <v>150</v>
      </c>
      <c r="H15" s="1" t="s">
        <v>151</v>
      </c>
      <c r="I15" s="1" t="s">
        <v>106</v>
      </c>
      <c r="J15" s="1" t="s">
        <v>106</v>
      </c>
      <c r="K15" s="1" t="s">
        <v>106</v>
      </c>
      <c r="L15" s="1" t="s">
        <v>144</v>
      </c>
      <c r="M15" s="1" t="s">
        <v>155</v>
      </c>
      <c r="N15" s="1" t="s">
        <v>109</v>
      </c>
      <c r="O15" s="1" t="s">
        <v>110</v>
      </c>
      <c r="P15" s="24" t="s">
        <v>259</v>
      </c>
      <c r="Q15" s="1" t="s">
        <v>111</v>
      </c>
      <c r="R15" s="1" t="s">
        <v>112</v>
      </c>
      <c r="S15" s="14">
        <v>31292</v>
      </c>
      <c r="T15" s="1">
        <v>31</v>
      </c>
      <c r="U15" s="14">
        <v>31292</v>
      </c>
      <c r="V15" s="1">
        <v>0</v>
      </c>
      <c r="W15" s="14">
        <v>0</v>
      </c>
      <c r="X15" s="1">
        <v>0</v>
      </c>
      <c r="Y15" s="14">
        <v>0</v>
      </c>
      <c r="Z15" s="1">
        <v>0</v>
      </c>
      <c r="AA15" s="14">
        <v>0</v>
      </c>
      <c r="AB15" s="1">
        <v>0</v>
      </c>
      <c r="AC15" s="14">
        <v>0</v>
      </c>
      <c r="AD15" s="1">
        <v>0</v>
      </c>
      <c r="AE15" s="14">
        <v>0</v>
      </c>
      <c r="AF15" s="15">
        <v>0</v>
      </c>
      <c r="AG15" s="1">
        <v>0</v>
      </c>
      <c r="AH15" s="15">
        <v>0</v>
      </c>
      <c r="AI15" s="14">
        <v>0</v>
      </c>
      <c r="AJ15" s="1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6">
        <v>0</v>
      </c>
      <c r="AS15" s="16">
        <v>0</v>
      </c>
      <c r="AT15" s="16">
        <v>185.43</v>
      </c>
      <c r="AU15" s="16">
        <v>0</v>
      </c>
      <c r="AV15" s="16">
        <v>0</v>
      </c>
      <c r="AW15" s="16">
        <v>0</v>
      </c>
      <c r="AX15" s="1">
        <v>0</v>
      </c>
      <c r="AY15" s="16">
        <v>0</v>
      </c>
      <c r="AZ15" s="1">
        <v>0</v>
      </c>
      <c r="BA15" s="1">
        <v>0</v>
      </c>
      <c r="BB15" s="1">
        <v>0</v>
      </c>
      <c r="BC15" s="1">
        <v>2</v>
      </c>
      <c r="BD15" s="17">
        <v>0</v>
      </c>
      <c r="BE15" s="1">
        <v>0</v>
      </c>
      <c r="BF15" s="1">
        <v>0</v>
      </c>
      <c r="BG15" s="1">
        <v>0</v>
      </c>
      <c r="BH15" s="1">
        <v>0</v>
      </c>
      <c r="BI15" s="17">
        <v>0</v>
      </c>
      <c r="BJ15" s="1">
        <v>0</v>
      </c>
      <c r="BK15" s="1">
        <v>0</v>
      </c>
      <c r="BL15" s="17">
        <v>0</v>
      </c>
      <c r="BM15" s="1">
        <v>0</v>
      </c>
      <c r="BN15" s="1">
        <v>0</v>
      </c>
      <c r="BO15" s="1">
        <v>0</v>
      </c>
      <c r="BP15" s="17">
        <v>0</v>
      </c>
      <c r="BQ15" s="17">
        <v>0</v>
      </c>
      <c r="BR15" s="1">
        <v>0</v>
      </c>
      <c r="BS15" s="16">
        <v>875</v>
      </c>
      <c r="BT15" s="16">
        <v>875</v>
      </c>
      <c r="BU15" s="1">
        <v>0</v>
      </c>
      <c r="BV15" s="1">
        <v>0</v>
      </c>
      <c r="BW15" s="17">
        <v>0</v>
      </c>
      <c r="BX15" s="16">
        <v>0</v>
      </c>
      <c r="BY15" s="14">
        <v>31292</v>
      </c>
      <c r="BZ15" s="16">
        <v>1060.43</v>
      </c>
      <c r="CA15" s="14">
        <v>30231.57</v>
      </c>
      <c r="CD15" s="18">
        <f t="shared" si="0"/>
        <v>31292</v>
      </c>
      <c r="CE15">
        <f t="shared" si="1"/>
        <v>875</v>
      </c>
      <c r="CF15" s="18">
        <f t="shared" si="2"/>
        <v>0</v>
      </c>
      <c r="CI15" s="18">
        <f t="shared" si="3"/>
        <v>31292</v>
      </c>
      <c r="CJ15" s="18">
        <f t="shared" si="4"/>
        <v>185.43</v>
      </c>
    </row>
    <row r="16" spans="1:88" x14ac:dyDescent="0.2">
      <c r="A16" s="1" t="s">
        <v>156</v>
      </c>
      <c r="B16" s="1" t="s">
        <v>231</v>
      </c>
      <c r="C16" s="1" t="s">
        <v>157</v>
      </c>
      <c r="D16" s="1" t="s">
        <v>102</v>
      </c>
      <c r="E16" s="1" t="s">
        <v>103</v>
      </c>
      <c r="F16" s="1" t="s">
        <v>104</v>
      </c>
      <c r="G16" s="1" t="s">
        <v>138</v>
      </c>
      <c r="H16" s="1" t="s">
        <v>158</v>
      </c>
      <c r="I16" s="1" t="s">
        <v>106</v>
      </c>
      <c r="J16" s="1" t="s">
        <v>106</v>
      </c>
      <c r="K16" s="1" t="s">
        <v>106</v>
      </c>
      <c r="L16" s="1" t="s">
        <v>144</v>
      </c>
      <c r="M16" s="1" t="s">
        <v>159</v>
      </c>
      <c r="N16" s="1" t="s">
        <v>109</v>
      </c>
      <c r="O16" s="1" t="s">
        <v>110</v>
      </c>
      <c r="P16" s="24" t="s">
        <v>260</v>
      </c>
      <c r="Q16" s="1" t="s">
        <v>111</v>
      </c>
      <c r="R16" s="1" t="s">
        <v>112</v>
      </c>
      <c r="S16" s="14">
        <v>24273</v>
      </c>
      <c r="T16" s="1">
        <v>31</v>
      </c>
      <c r="U16" s="14">
        <v>24273</v>
      </c>
      <c r="V16" s="1">
        <v>0</v>
      </c>
      <c r="W16" s="14">
        <v>0</v>
      </c>
      <c r="X16" s="1">
        <v>0</v>
      </c>
      <c r="Y16" s="14">
        <v>0</v>
      </c>
      <c r="Z16" s="1">
        <v>0</v>
      </c>
      <c r="AA16" s="14">
        <v>0</v>
      </c>
      <c r="AB16" s="1">
        <v>0</v>
      </c>
      <c r="AC16" s="14">
        <v>0</v>
      </c>
      <c r="AD16" s="1">
        <v>0</v>
      </c>
      <c r="AE16" s="14">
        <v>0</v>
      </c>
      <c r="AF16" s="15">
        <v>0</v>
      </c>
      <c r="AG16" s="1">
        <v>0</v>
      </c>
      <c r="AH16" s="15">
        <v>0</v>
      </c>
      <c r="AI16" s="14">
        <v>0</v>
      </c>
      <c r="AJ16" s="1">
        <v>0</v>
      </c>
      <c r="AK16" s="14">
        <v>500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">
        <v>0</v>
      </c>
      <c r="AY16" s="16">
        <v>0</v>
      </c>
      <c r="AZ16" s="1">
        <v>0</v>
      </c>
      <c r="BA16" s="1">
        <v>0</v>
      </c>
      <c r="BB16" s="1">
        <v>0</v>
      </c>
      <c r="BC16" s="1">
        <v>0</v>
      </c>
      <c r="BD16" s="17">
        <v>0</v>
      </c>
      <c r="BE16" s="1">
        <v>0</v>
      </c>
      <c r="BF16" s="1">
        <v>0</v>
      </c>
      <c r="BG16" s="1">
        <v>0</v>
      </c>
      <c r="BH16" s="1">
        <v>0</v>
      </c>
      <c r="BI16" s="17">
        <v>0</v>
      </c>
      <c r="BJ16" s="1">
        <v>0</v>
      </c>
      <c r="BK16" s="1">
        <v>0</v>
      </c>
      <c r="BL16" s="17">
        <v>0</v>
      </c>
      <c r="BM16" s="1">
        <v>0</v>
      </c>
      <c r="BN16" s="1">
        <v>0</v>
      </c>
      <c r="BO16" s="1">
        <v>0</v>
      </c>
      <c r="BP16" s="17">
        <v>0</v>
      </c>
      <c r="BQ16" s="17">
        <v>0</v>
      </c>
      <c r="BR16" s="1">
        <v>0</v>
      </c>
      <c r="BS16" s="16">
        <v>875</v>
      </c>
      <c r="BT16" s="16">
        <v>875</v>
      </c>
      <c r="BU16" s="1">
        <v>0</v>
      </c>
      <c r="BV16" s="1">
        <v>0</v>
      </c>
      <c r="BW16" s="17">
        <v>0</v>
      </c>
      <c r="BX16" s="16">
        <v>0</v>
      </c>
      <c r="BY16" s="14">
        <v>24773</v>
      </c>
      <c r="BZ16" s="16">
        <v>875</v>
      </c>
      <c r="CA16" s="14">
        <v>23898</v>
      </c>
      <c r="CD16" s="18">
        <f t="shared" si="0"/>
        <v>24273</v>
      </c>
      <c r="CE16">
        <f t="shared" si="1"/>
        <v>875</v>
      </c>
      <c r="CF16" s="18">
        <f t="shared" si="2"/>
        <v>0</v>
      </c>
      <c r="CI16" s="18">
        <f t="shared" si="3"/>
        <v>24773</v>
      </c>
      <c r="CJ16" s="18">
        <f t="shared" si="4"/>
        <v>0</v>
      </c>
    </row>
    <row r="17" spans="1:88" x14ac:dyDescent="0.2">
      <c r="A17" s="1" t="s">
        <v>160</v>
      </c>
      <c r="B17" s="1" t="s">
        <v>234</v>
      </c>
      <c r="C17" s="1" t="s">
        <v>161</v>
      </c>
      <c r="D17" s="1" t="s">
        <v>102</v>
      </c>
      <c r="E17" s="1" t="s">
        <v>103</v>
      </c>
      <c r="F17" s="1" t="s">
        <v>104</v>
      </c>
      <c r="G17" s="1" t="s">
        <v>150</v>
      </c>
      <c r="H17" s="1" t="s">
        <v>162</v>
      </c>
      <c r="I17" s="1" t="s">
        <v>106</v>
      </c>
      <c r="J17" s="1" t="s">
        <v>106</v>
      </c>
      <c r="K17" s="1" t="s">
        <v>106</v>
      </c>
      <c r="L17" s="1" t="s">
        <v>163</v>
      </c>
      <c r="M17" s="1" t="s">
        <v>164</v>
      </c>
      <c r="N17" s="1" t="s">
        <v>109</v>
      </c>
      <c r="O17" s="1" t="s">
        <v>110</v>
      </c>
      <c r="P17" s="24" t="s">
        <v>261</v>
      </c>
      <c r="Q17" s="1" t="s">
        <v>111</v>
      </c>
      <c r="R17" s="1" t="s">
        <v>112</v>
      </c>
      <c r="S17" s="14">
        <v>36906</v>
      </c>
      <c r="T17" s="1">
        <v>31</v>
      </c>
      <c r="U17" s="14">
        <v>36906</v>
      </c>
      <c r="V17" s="1">
        <v>0</v>
      </c>
      <c r="W17" s="14">
        <v>0</v>
      </c>
      <c r="X17" s="1">
        <v>0</v>
      </c>
      <c r="Y17" s="14">
        <v>0</v>
      </c>
      <c r="Z17" s="1">
        <v>0</v>
      </c>
      <c r="AA17" s="14">
        <v>0</v>
      </c>
      <c r="AB17" s="1">
        <v>0</v>
      </c>
      <c r="AC17" s="14">
        <v>0</v>
      </c>
      <c r="AD17" s="1">
        <v>0</v>
      </c>
      <c r="AE17" s="14">
        <v>0</v>
      </c>
      <c r="AF17" s="15">
        <v>0</v>
      </c>
      <c r="AG17" s="1">
        <v>0</v>
      </c>
      <c r="AH17" s="15">
        <v>0</v>
      </c>
      <c r="AI17" s="14">
        <v>0</v>
      </c>
      <c r="AJ17" s="1">
        <v>0</v>
      </c>
      <c r="AK17" s="14">
        <v>500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6">
        <v>0</v>
      </c>
      <c r="AS17" s="16">
        <v>0</v>
      </c>
      <c r="AT17" s="16">
        <v>472.38</v>
      </c>
      <c r="AU17" s="16">
        <v>0</v>
      </c>
      <c r="AV17" s="16">
        <v>0</v>
      </c>
      <c r="AW17" s="16">
        <v>0</v>
      </c>
      <c r="AX17" s="1">
        <v>0</v>
      </c>
      <c r="AY17" s="16">
        <v>0</v>
      </c>
      <c r="AZ17" s="1">
        <v>0</v>
      </c>
      <c r="BA17" s="1">
        <v>0</v>
      </c>
      <c r="BB17" s="1">
        <v>0</v>
      </c>
      <c r="BC17" s="1">
        <v>0</v>
      </c>
      <c r="BD17" s="17">
        <v>0</v>
      </c>
      <c r="BE17" s="1">
        <v>0</v>
      </c>
      <c r="BF17" s="1">
        <v>0</v>
      </c>
      <c r="BG17" s="1">
        <v>0</v>
      </c>
      <c r="BH17" s="1">
        <v>0</v>
      </c>
      <c r="BI17" s="17">
        <v>0</v>
      </c>
      <c r="BJ17" s="1">
        <v>0</v>
      </c>
      <c r="BK17" s="1">
        <v>0</v>
      </c>
      <c r="BL17" s="17">
        <v>0</v>
      </c>
      <c r="BM17" s="1">
        <v>0</v>
      </c>
      <c r="BN17" s="1">
        <v>0</v>
      </c>
      <c r="BO17" s="1">
        <v>0</v>
      </c>
      <c r="BP17" s="17">
        <v>0</v>
      </c>
      <c r="BQ17" s="17">
        <v>0</v>
      </c>
      <c r="BR17" s="1">
        <v>0</v>
      </c>
      <c r="BS17" s="16">
        <v>875</v>
      </c>
      <c r="BT17" s="16">
        <v>875</v>
      </c>
      <c r="BU17" s="1">
        <v>0</v>
      </c>
      <c r="BV17" s="1">
        <v>0</v>
      </c>
      <c r="BW17" s="17">
        <v>0</v>
      </c>
      <c r="BX17" s="16">
        <v>0</v>
      </c>
      <c r="BY17" s="14">
        <v>37406</v>
      </c>
      <c r="BZ17" s="16">
        <v>1347.38</v>
      </c>
      <c r="CA17" s="14">
        <v>36058.620000000003</v>
      </c>
      <c r="CD17" s="18">
        <f t="shared" si="0"/>
        <v>36906</v>
      </c>
      <c r="CE17">
        <f t="shared" si="1"/>
        <v>875</v>
      </c>
      <c r="CF17" s="18">
        <f t="shared" si="2"/>
        <v>0</v>
      </c>
      <c r="CI17" s="18">
        <f t="shared" si="3"/>
        <v>37406</v>
      </c>
      <c r="CJ17" s="18">
        <f t="shared" si="4"/>
        <v>472.38</v>
      </c>
    </row>
    <row r="18" spans="1:88" x14ac:dyDescent="0.2">
      <c r="A18" s="1" t="s">
        <v>165</v>
      </c>
      <c r="B18" s="1" t="s">
        <v>129</v>
      </c>
      <c r="C18" s="1" t="s">
        <v>166</v>
      </c>
      <c r="D18" s="1" t="s">
        <v>102</v>
      </c>
      <c r="E18" s="1" t="s">
        <v>103</v>
      </c>
      <c r="F18" s="1" t="s">
        <v>104</v>
      </c>
      <c r="G18" s="1" t="s">
        <v>119</v>
      </c>
      <c r="H18" s="1" t="s">
        <v>143</v>
      </c>
      <c r="I18" s="1" t="s">
        <v>106</v>
      </c>
      <c r="J18" s="1" t="s">
        <v>106</v>
      </c>
      <c r="K18" s="1" t="s">
        <v>106</v>
      </c>
      <c r="L18" s="1" t="s">
        <v>144</v>
      </c>
      <c r="M18" s="1" t="s">
        <v>145</v>
      </c>
      <c r="N18" s="1" t="s">
        <v>109</v>
      </c>
      <c r="O18" s="1" t="s">
        <v>110</v>
      </c>
      <c r="P18" s="24" t="s">
        <v>262</v>
      </c>
      <c r="Q18" s="1" t="s">
        <v>111</v>
      </c>
      <c r="R18" s="1" t="s">
        <v>112</v>
      </c>
      <c r="S18" s="14">
        <v>21995</v>
      </c>
      <c r="T18" s="1">
        <v>31</v>
      </c>
      <c r="U18" s="14">
        <v>21995</v>
      </c>
      <c r="V18" s="1">
        <v>0</v>
      </c>
      <c r="W18" s="14">
        <v>0</v>
      </c>
      <c r="X18" s="1">
        <v>0</v>
      </c>
      <c r="Y18" s="14">
        <v>0</v>
      </c>
      <c r="Z18" s="1">
        <v>0</v>
      </c>
      <c r="AA18" s="14">
        <v>0</v>
      </c>
      <c r="AB18" s="1">
        <v>0</v>
      </c>
      <c r="AC18" s="14">
        <v>0</v>
      </c>
      <c r="AD18" s="1">
        <v>0</v>
      </c>
      <c r="AE18" s="14">
        <v>0</v>
      </c>
      <c r="AF18" s="15">
        <v>0</v>
      </c>
      <c r="AG18" s="1">
        <v>0</v>
      </c>
      <c r="AH18" s="15">
        <v>0</v>
      </c>
      <c r="AI18" s="14">
        <v>0</v>
      </c>
      <c r="AJ18" s="1">
        <v>0</v>
      </c>
      <c r="AK18" s="14">
        <v>500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">
        <v>0</v>
      </c>
      <c r="AY18" s="16">
        <v>0</v>
      </c>
      <c r="AZ18" s="1">
        <v>0</v>
      </c>
      <c r="BA18" s="1">
        <v>0</v>
      </c>
      <c r="BB18" s="1">
        <v>0</v>
      </c>
      <c r="BC18" s="1">
        <v>0</v>
      </c>
      <c r="BD18" s="17">
        <v>0</v>
      </c>
      <c r="BE18" s="1">
        <v>0</v>
      </c>
      <c r="BF18" s="1">
        <v>0</v>
      </c>
      <c r="BG18" s="1">
        <v>0</v>
      </c>
      <c r="BH18" s="1">
        <v>0</v>
      </c>
      <c r="BI18" s="17">
        <v>0</v>
      </c>
      <c r="BJ18" s="1">
        <v>0</v>
      </c>
      <c r="BK18" s="1">
        <v>0</v>
      </c>
      <c r="BL18" s="17">
        <v>0</v>
      </c>
      <c r="BM18" s="1">
        <v>0</v>
      </c>
      <c r="BN18" s="1">
        <v>0</v>
      </c>
      <c r="BO18" s="1">
        <v>0</v>
      </c>
      <c r="BP18" s="17">
        <v>0</v>
      </c>
      <c r="BQ18" s="17">
        <v>0</v>
      </c>
      <c r="BR18" s="1">
        <v>0</v>
      </c>
      <c r="BS18" s="16">
        <v>875</v>
      </c>
      <c r="BT18" s="16">
        <v>875</v>
      </c>
      <c r="BU18" s="1">
        <v>0</v>
      </c>
      <c r="BV18" s="1">
        <v>0</v>
      </c>
      <c r="BW18" s="17">
        <v>0</v>
      </c>
      <c r="BX18" s="16">
        <v>0</v>
      </c>
      <c r="BY18" s="14">
        <v>22495</v>
      </c>
      <c r="BZ18" s="16">
        <v>875</v>
      </c>
      <c r="CA18" s="14">
        <v>21620</v>
      </c>
      <c r="CD18" s="18">
        <f t="shared" si="0"/>
        <v>21995</v>
      </c>
      <c r="CE18">
        <f t="shared" si="1"/>
        <v>875</v>
      </c>
      <c r="CF18" s="18">
        <f t="shared" si="2"/>
        <v>0</v>
      </c>
      <c r="CI18" s="18">
        <f t="shared" si="3"/>
        <v>22495</v>
      </c>
      <c r="CJ18" s="18">
        <f t="shared" si="4"/>
        <v>0</v>
      </c>
    </row>
    <row r="19" spans="1:88" x14ac:dyDescent="0.2">
      <c r="A19" s="1" t="s">
        <v>167</v>
      </c>
      <c r="B19" s="1" t="s">
        <v>225</v>
      </c>
      <c r="C19" s="1" t="s">
        <v>168</v>
      </c>
      <c r="D19" s="1" t="s">
        <v>102</v>
      </c>
      <c r="E19" s="1" t="s">
        <v>103</v>
      </c>
      <c r="F19" s="1" t="s">
        <v>104</v>
      </c>
      <c r="G19" s="1" t="s">
        <v>115</v>
      </c>
      <c r="H19" s="1" t="s">
        <v>128</v>
      </c>
      <c r="I19" s="1" t="s">
        <v>106</v>
      </c>
      <c r="J19" s="1" t="s">
        <v>106</v>
      </c>
      <c r="K19" s="1" t="s">
        <v>106</v>
      </c>
      <c r="L19" s="1" t="s">
        <v>129</v>
      </c>
      <c r="M19" s="1" t="s">
        <v>130</v>
      </c>
      <c r="N19" s="1" t="s">
        <v>109</v>
      </c>
      <c r="O19" s="1" t="s">
        <v>110</v>
      </c>
      <c r="P19" s="24" t="s">
        <v>263</v>
      </c>
      <c r="Q19" s="1" t="s">
        <v>111</v>
      </c>
      <c r="R19" s="1" t="s">
        <v>112</v>
      </c>
      <c r="S19" s="14">
        <v>32444</v>
      </c>
      <c r="T19" s="1">
        <v>31</v>
      </c>
      <c r="U19" s="14">
        <v>32444</v>
      </c>
      <c r="V19" s="1">
        <v>0</v>
      </c>
      <c r="W19" s="14">
        <v>0</v>
      </c>
      <c r="X19" s="1">
        <v>0</v>
      </c>
      <c r="Y19" s="14">
        <v>0</v>
      </c>
      <c r="Z19" s="1">
        <v>0</v>
      </c>
      <c r="AA19" s="14">
        <v>0</v>
      </c>
      <c r="AB19" s="1">
        <v>0</v>
      </c>
      <c r="AC19" s="14">
        <v>0</v>
      </c>
      <c r="AD19" s="1">
        <v>0</v>
      </c>
      <c r="AE19" s="14">
        <v>0</v>
      </c>
      <c r="AF19" s="15">
        <v>0</v>
      </c>
      <c r="AG19" s="1">
        <v>0</v>
      </c>
      <c r="AH19" s="15">
        <v>0</v>
      </c>
      <c r="AI19" s="14">
        <v>0</v>
      </c>
      <c r="AJ19" s="1">
        <v>0</v>
      </c>
      <c r="AK19" s="14">
        <v>0</v>
      </c>
      <c r="AL19" s="14">
        <v>42710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6">
        <v>0</v>
      </c>
      <c r="AS19" s="16">
        <v>0</v>
      </c>
      <c r="AT19" s="16">
        <v>4520.28</v>
      </c>
      <c r="AU19" s="16">
        <v>1255</v>
      </c>
      <c r="AV19" s="16">
        <v>0</v>
      </c>
      <c r="AW19" s="16">
        <v>0</v>
      </c>
      <c r="AX19" s="1">
        <v>0</v>
      </c>
      <c r="AY19" s="16">
        <v>0</v>
      </c>
      <c r="AZ19" s="1">
        <v>0</v>
      </c>
      <c r="BA19" s="1">
        <v>0</v>
      </c>
      <c r="BB19" s="1">
        <v>0</v>
      </c>
      <c r="BC19" s="1">
        <v>0</v>
      </c>
      <c r="BD19" s="17">
        <v>0</v>
      </c>
      <c r="BE19" s="1">
        <v>0</v>
      </c>
      <c r="BF19" s="1">
        <v>0</v>
      </c>
      <c r="BG19" s="1">
        <v>0</v>
      </c>
      <c r="BH19" s="1">
        <v>0</v>
      </c>
      <c r="BI19" s="17">
        <v>0</v>
      </c>
      <c r="BJ19" s="1">
        <v>0</v>
      </c>
      <c r="BK19" s="1">
        <v>0</v>
      </c>
      <c r="BL19" s="17">
        <v>0</v>
      </c>
      <c r="BM19" s="1">
        <v>0</v>
      </c>
      <c r="BN19" s="1">
        <v>0</v>
      </c>
      <c r="BO19" s="1">
        <v>0</v>
      </c>
      <c r="BP19" s="17">
        <v>0</v>
      </c>
      <c r="BQ19" s="17">
        <v>0</v>
      </c>
      <c r="BR19" s="1">
        <v>0</v>
      </c>
      <c r="BS19" s="16">
        <v>875</v>
      </c>
      <c r="BT19" s="16">
        <v>875</v>
      </c>
      <c r="BU19" s="1">
        <v>0</v>
      </c>
      <c r="BV19" s="1">
        <v>0</v>
      </c>
      <c r="BW19" s="17">
        <v>0</v>
      </c>
      <c r="BX19" s="16">
        <v>0</v>
      </c>
      <c r="BY19" s="14">
        <v>75154</v>
      </c>
      <c r="BZ19" s="16">
        <v>6650.28</v>
      </c>
      <c r="CA19" s="14">
        <v>68503.72</v>
      </c>
      <c r="CD19" s="18">
        <f t="shared" si="0"/>
        <v>32444</v>
      </c>
      <c r="CE19">
        <f t="shared" si="1"/>
        <v>875</v>
      </c>
      <c r="CF19" s="18">
        <f t="shared" si="2"/>
        <v>0</v>
      </c>
      <c r="CI19" s="18">
        <f t="shared" si="3"/>
        <v>75154</v>
      </c>
      <c r="CJ19" s="18">
        <f t="shared" si="4"/>
        <v>4520.28</v>
      </c>
    </row>
    <row r="20" spans="1:88" x14ac:dyDescent="0.2">
      <c r="A20" s="1" t="s">
        <v>169</v>
      </c>
      <c r="B20" s="1" t="s">
        <v>235</v>
      </c>
      <c r="C20" s="1" t="s">
        <v>170</v>
      </c>
      <c r="D20" s="1" t="s">
        <v>102</v>
      </c>
      <c r="E20" s="1" t="s">
        <v>103</v>
      </c>
      <c r="F20" s="1" t="s">
        <v>104</v>
      </c>
      <c r="G20" s="1" t="s">
        <v>119</v>
      </c>
      <c r="H20" s="1" t="s">
        <v>143</v>
      </c>
      <c r="I20" s="1" t="s">
        <v>106</v>
      </c>
      <c r="J20" s="1" t="s">
        <v>106</v>
      </c>
      <c r="K20" s="1" t="s">
        <v>106</v>
      </c>
      <c r="L20" s="1" t="s">
        <v>144</v>
      </c>
      <c r="M20" s="1" t="s">
        <v>145</v>
      </c>
      <c r="N20" s="1" t="s">
        <v>109</v>
      </c>
      <c r="O20" s="1" t="s">
        <v>110</v>
      </c>
      <c r="P20" s="24" t="s">
        <v>264</v>
      </c>
      <c r="Q20" s="1" t="s">
        <v>111</v>
      </c>
      <c r="R20" s="1" t="s">
        <v>112</v>
      </c>
      <c r="S20" s="14">
        <v>17017</v>
      </c>
      <c r="T20" s="1">
        <v>31</v>
      </c>
      <c r="U20" s="14">
        <v>17017</v>
      </c>
      <c r="V20" s="1">
        <v>0</v>
      </c>
      <c r="W20" s="14">
        <v>0</v>
      </c>
      <c r="X20" s="1">
        <v>0</v>
      </c>
      <c r="Y20" s="14">
        <v>0</v>
      </c>
      <c r="Z20" s="1">
        <v>0</v>
      </c>
      <c r="AA20" s="14">
        <v>0</v>
      </c>
      <c r="AB20" s="1">
        <v>0</v>
      </c>
      <c r="AC20" s="14">
        <v>0</v>
      </c>
      <c r="AD20" s="1">
        <v>0</v>
      </c>
      <c r="AE20" s="14">
        <v>0</v>
      </c>
      <c r="AF20" s="15">
        <v>0</v>
      </c>
      <c r="AG20" s="1">
        <v>0</v>
      </c>
      <c r="AH20" s="15">
        <v>0</v>
      </c>
      <c r="AI20" s="14">
        <v>0</v>
      </c>
      <c r="AJ20" s="1">
        <v>0</v>
      </c>
      <c r="AK20" s="14">
        <v>500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">
        <v>0</v>
      </c>
      <c r="AY20" s="16">
        <v>0</v>
      </c>
      <c r="AZ20" s="1">
        <v>0</v>
      </c>
      <c r="BA20" s="1">
        <v>0</v>
      </c>
      <c r="BB20" s="1">
        <v>0</v>
      </c>
      <c r="BC20" s="1">
        <v>0</v>
      </c>
      <c r="BD20" s="17">
        <v>0</v>
      </c>
      <c r="BE20" s="1">
        <v>0</v>
      </c>
      <c r="BF20" s="1">
        <v>0</v>
      </c>
      <c r="BG20" s="1">
        <v>0</v>
      </c>
      <c r="BH20" s="1">
        <v>0</v>
      </c>
      <c r="BI20" s="17">
        <v>0</v>
      </c>
      <c r="BJ20" s="1">
        <v>0</v>
      </c>
      <c r="BK20" s="1">
        <v>0</v>
      </c>
      <c r="BL20" s="17">
        <v>0</v>
      </c>
      <c r="BM20" s="1">
        <v>0</v>
      </c>
      <c r="BN20" s="1">
        <v>0</v>
      </c>
      <c r="BO20" s="1">
        <v>0</v>
      </c>
      <c r="BP20" s="17">
        <v>0</v>
      </c>
      <c r="BQ20" s="17">
        <v>0</v>
      </c>
      <c r="BR20" s="1">
        <v>0</v>
      </c>
      <c r="BS20" s="16">
        <v>851</v>
      </c>
      <c r="BT20" s="16">
        <v>851</v>
      </c>
      <c r="BU20" s="1">
        <v>0</v>
      </c>
      <c r="BV20" s="1">
        <v>0</v>
      </c>
      <c r="BW20" s="17">
        <v>0</v>
      </c>
      <c r="BX20" s="16">
        <v>0</v>
      </c>
      <c r="BY20" s="14">
        <v>17517</v>
      </c>
      <c r="BZ20" s="16">
        <v>851</v>
      </c>
      <c r="CA20" s="14">
        <v>16666</v>
      </c>
      <c r="CD20" s="18">
        <f t="shared" si="0"/>
        <v>17017</v>
      </c>
      <c r="CE20">
        <f t="shared" si="1"/>
        <v>851</v>
      </c>
      <c r="CF20" s="18">
        <f t="shared" si="2"/>
        <v>0</v>
      </c>
      <c r="CI20" s="18">
        <f t="shared" si="3"/>
        <v>17517</v>
      </c>
      <c r="CJ20" s="18">
        <f t="shared" si="4"/>
        <v>0</v>
      </c>
    </row>
    <row r="21" spans="1:88" x14ac:dyDescent="0.2">
      <c r="A21" s="1" t="s">
        <v>171</v>
      </c>
      <c r="B21" s="1" t="s">
        <v>236</v>
      </c>
      <c r="C21" s="1" t="s">
        <v>172</v>
      </c>
      <c r="D21" s="1" t="s">
        <v>102</v>
      </c>
      <c r="E21" s="1" t="s">
        <v>103</v>
      </c>
      <c r="F21" s="1" t="s">
        <v>104</v>
      </c>
      <c r="G21" s="1" t="s">
        <v>173</v>
      </c>
      <c r="H21" s="1" t="s">
        <v>173</v>
      </c>
      <c r="I21" s="1" t="s">
        <v>106</v>
      </c>
      <c r="J21" s="1" t="s">
        <v>106</v>
      </c>
      <c r="K21" s="1" t="s">
        <v>106</v>
      </c>
      <c r="L21" s="1" t="s">
        <v>129</v>
      </c>
      <c r="M21" s="1" t="s">
        <v>174</v>
      </c>
      <c r="N21" s="1" t="s">
        <v>109</v>
      </c>
      <c r="O21" s="1" t="s">
        <v>110</v>
      </c>
      <c r="P21" s="24" t="s">
        <v>265</v>
      </c>
      <c r="Q21" s="1" t="s">
        <v>111</v>
      </c>
      <c r="R21" s="1" t="s">
        <v>112</v>
      </c>
      <c r="S21" s="14">
        <v>32448</v>
      </c>
      <c r="T21" s="1">
        <v>31</v>
      </c>
      <c r="U21" s="14">
        <v>32448</v>
      </c>
      <c r="V21" s="1">
        <v>0</v>
      </c>
      <c r="W21" s="14">
        <v>0</v>
      </c>
      <c r="X21" s="1">
        <v>0</v>
      </c>
      <c r="Y21" s="14">
        <v>0</v>
      </c>
      <c r="Z21" s="1">
        <v>0</v>
      </c>
      <c r="AA21" s="14">
        <v>0</v>
      </c>
      <c r="AB21" s="1">
        <v>0</v>
      </c>
      <c r="AC21" s="14">
        <v>0</v>
      </c>
      <c r="AD21" s="1">
        <v>0</v>
      </c>
      <c r="AE21" s="14">
        <v>0</v>
      </c>
      <c r="AF21" s="15">
        <v>0</v>
      </c>
      <c r="AG21" s="1">
        <v>0</v>
      </c>
      <c r="AH21" s="15">
        <v>0</v>
      </c>
      <c r="AI21" s="14">
        <v>0</v>
      </c>
      <c r="AJ21" s="1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6">
        <v>0</v>
      </c>
      <c r="AS21" s="16">
        <v>0</v>
      </c>
      <c r="AT21" s="16">
        <v>243.23</v>
      </c>
      <c r="AU21" s="16">
        <v>0</v>
      </c>
      <c r="AV21" s="16">
        <v>0</v>
      </c>
      <c r="AW21" s="16">
        <v>0</v>
      </c>
      <c r="AX21" s="1">
        <v>0</v>
      </c>
      <c r="AY21" s="16">
        <v>0</v>
      </c>
      <c r="AZ21" s="1">
        <v>0</v>
      </c>
      <c r="BA21" s="1">
        <v>0</v>
      </c>
      <c r="BB21" s="1">
        <v>0</v>
      </c>
      <c r="BC21" s="1">
        <v>0</v>
      </c>
      <c r="BD21" s="17">
        <v>0</v>
      </c>
      <c r="BE21" s="1">
        <v>0</v>
      </c>
      <c r="BF21" s="1">
        <v>0</v>
      </c>
      <c r="BG21" s="1">
        <v>0</v>
      </c>
      <c r="BH21" s="1">
        <v>0</v>
      </c>
      <c r="BI21" s="17">
        <v>0</v>
      </c>
      <c r="BJ21" s="1">
        <v>0</v>
      </c>
      <c r="BK21" s="1">
        <v>0</v>
      </c>
      <c r="BL21" s="17">
        <v>0</v>
      </c>
      <c r="BM21" s="1">
        <v>0</v>
      </c>
      <c r="BN21" s="1">
        <v>0</v>
      </c>
      <c r="BO21" s="1">
        <v>0</v>
      </c>
      <c r="BP21" s="17">
        <v>0</v>
      </c>
      <c r="BQ21" s="17">
        <v>0</v>
      </c>
      <c r="BR21" s="1">
        <v>0</v>
      </c>
      <c r="BS21" s="16">
        <v>875</v>
      </c>
      <c r="BT21" s="16">
        <v>875</v>
      </c>
      <c r="BU21" s="1">
        <v>0</v>
      </c>
      <c r="BV21" s="1">
        <v>0</v>
      </c>
      <c r="BW21" s="17">
        <v>0</v>
      </c>
      <c r="BX21" s="16">
        <v>0</v>
      </c>
      <c r="BY21" s="14">
        <v>32448</v>
      </c>
      <c r="BZ21" s="16">
        <v>1118.23</v>
      </c>
      <c r="CA21" s="14">
        <v>31329.77</v>
      </c>
      <c r="CD21" s="18">
        <f t="shared" si="0"/>
        <v>32448</v>
      </c>
      <c r="CE21">
        <f t="shared" si="1"/>
        <v>875</v>
      </c>
      <c r="CF21" s="18">
        <f t="shared" si="2"/>
        <v>0</v>
      </c>
      <c r="CI21" s="18">
        <f t="shared" si="3"/>
        <v>32448</v>
      </c>
      <c r="CJ21" s="18">
        <f t="shared" si="4"/>
        <v>243.23</v>
      </c>
    </row>
    <row r="22" spans="1:88" x14ac:dyDescent="0.2">
      <c r="A22" s="1" t="s">
        <v>175</v>
      </c>
      <c r="B22" s="1" t="s">
        <v>237</v>
      </c>
      <c r="C22" s="1" t="s">
        <v>176</v>
      </c>
      <c r="D22" s="1" t="s">
        <v>102</v>
      </c>
      <c r="E22" s="1" t="s">
        <v>103</v>
      </c>
      <c r="F22" s="1" t="s">
        <v>104</v>
      </c>
      <c r="G22" s="1" t="s">
        <v>150</v>
      </c>
      <c r="H22" s="1" t="s">
        <v>177</v>
      </c>
      <c r="I22" s="1" t="s">
        <v>106</v>
      </c>
      <c r="J22" s="1" t="s">
        <v>106</v>
      </c>
      <c r="K22" s="1" t="s">
        <v>106</v>
      </c>
      <c r="L22" s="1" t="s">
        <v>144</v>
      </c>
      <c r="M22" s="1" t="s">
        <v>178</v>
      </c>
      <c r="N22" s="1" t="s">
        <v>109</v>
      </c>
      <c r="O22" s="1" t="s">
        <v>110</v>
      </c>
      <c r="P22" s="24" t="s">
        <v>266</v>
      </c>
      <c r="Q22" s="1" t="s">
        <v>111</v>
      </c>
      <c r="R22" s="1" t="s">
        <v>112</v>
      </c>
      <c r="S22" s="14">
        <v>24720</v>
      </c>
      <c r="T22" s="1">
        <v>31</v>
      </c>
      <c r="U22" s="14">
        <v>24720</v>
      </c>
      <c r="V22" s="1">
        <v>0</v>
      </c>
      <c r="W22" s="14">
        <v>0</v>
      </c>
      <c r="X22" s="1">
        <v>0</v>
      </c>
      <c r="Y22" s="14">
        <v>0</v>
      </c>
      <c r="Z22" s="1">
        <v>0</v>
      </c>
      <c r="AA22" s="14">
        <v>0</v>
      </c>
      <c r="AB22" s="1">
        <v>0</v>
      </c>
      <c r="AC22" s="14">
        <v>0</v>
      </c>
      <c r="AD22" s="1">
        <v>0</v>
      </c>
      <c r="AE22" s="14">
        <v>0</v>
      </c>
      <c r="AF22" s="15">
        <v>0</v>
      </c>
      <c r="AG22" s="1">
        <v>0</v>
      </c>
      <c r="AH22" s="15">
        <v>0</v>
      </c>
      <c r="AI22" s="14">
        <v>0</v>
      </c>
      <c r="AJ22" s="1">
        <v>0</v>
      </c>
      <c r="AK22" s="14">
        <v>500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6">
        <v>0</v>
      </c>
      <c r="AS22" s="16">
        <v>0</v>
      </c>
      <c r="AT22" s="16">
        <v>0</v>
      </c>
      <c r="AU22" s="16">
        <v>460</v>
      </c>
      <c r="AV22" s="16">
        <v>0</v>
      </c>
      <c r="AW22" s="16">
        <v>0</v>
      </c>
      <c r="AX22" s="1">
        <v>0</v>
      </c>
      <c r="AY22" s="16">
        <v>0</v>
      </c>
      <c r="AZ22" s="1">
        <v>0</v>
      </c>
      <c r="BA22" s="1">
        <v>0</v>
      </c>
      <c r="BB22" s="1">
        <v>0</v>
      </c>
      <c r="BC22" s="1">
        <v>0</v>
      </c>
      <c r="BD22" s="17">
        <v>0</v>
      </c>
      <c r="BE22" s="1">
        <v>0</v>
      </c>
      <c r="BF22" s="1">
        <v>0</v>
      </c>
      <c r="BG22" s="1">
        <v>0</v>
      </c>
      <c r="BH22" s="1">
        <v>0</v>
      </c>
      <c r="BI22" s="17">
        <v>0</v>
      </c>
      <c r="BJ22" s="1">
        <v>0</v>
      </c>
      <c r="BK22" s="1">
        <v>0</v>
      </c>
      <c r="BL22" s="17">
        <v>0</v>
      </c>
      <c r="BM22" s="1">
        <v>0</v>
      </c>
      <c r="BN22" s="1">
        <v>0</v>
      </c>
      <c r="BO22" s="1">
        <v>0</v>
      </c>
      <c r="BP22" s="17">
        <v>0</v>
      </c>
      <c r="BQ22" s="17">
        <v>0</v>
      </c>
      <c r="BR22" s="1">
        <v>0</v>
      </c>
      <c r="BS22" s="16">
        <v>875</v>
      </c>
      <c r="BT22" s="16">
        <v>875</v>
      </c>
      <c r="BU22" s="1">
        <v>0</v>
      </c>
      <c r="BV22" s="1">
        <v>0</v>
      </c>
      <c r="BW22" s="17">
        <v>0</v>
      </c>
      <c r="BX22" s="16">
        <v>0</v>
      </c>
      <c r="BY22" s="14">
        <v>25220</v>
      </c>
      <c r="BZ22" s="16">
        <v>1335</v>
      </c>
      <c r="CA22" s="14">
        <v>23885</v>
      </c>
      <c r="CD22" s="18">
        <f t="shared" si="0"/>
        <v>24720</v>
      </c>
      <c r="CE22">
        <f t="shared" si="1"/>
        <v>875</v>
      </c>
      <c r="CF22" s="18">
        <f t="shared" si="2"/>
        <v>0</v>
      </c>
      <c r="CI22" s="18">
        <f t="shared" si="3"/>
        <v>25220</v>
      </c>
      <c r="CJ22" s="18">
        <f t="shared" si="4"/>
        <v>0</v>
      </c>
    </row>
    <row r="23" spans="1:88" x14ac:dyDescent="0.2">
      <c r="A23" s="1" t="s">
        <v>179</v>
      </c>
      <c r="B23" s="1" t="s">
        <v>238</v>
      </c>
      <c r="C23" s="1" t="s">
        <v>180</v>
      </c>
      <c r="D23" s="1" t="s">
        <v>102</v>
      </c>
      <c r="E23" s="1" t="s">
        <v>103</v>
      </c>
      <c r="F23" s="1" t="s">
        <v>104</v>
      </c>
      <c r="G23" s="1" t="s">
        <v>119</v>
      </c>
      <c r="H23" s="1" t="s">
        <v>143</v>
      </c>
      <c r="I23" s="1" t="s">
        <v>106</v>
      </c>
      <c r="J23" s="1" t="s">
        <v>106</v>
      </c>
      <c r="K23" s="1" t="s">
        <v>106</v>
      </c>
      <c r="L23" s="1" t="s">
        <v>144</v>
      </c>
      <c r="M23" s="1" t="s">
        <v>145</v>
      </c>
      <c r="N23" s="1" t="s">
        <v>109</v>
      </c>
      <c r="O23" s="1" t="s">
        <v>110</v>
      </c>
      <c r="P23" s="24" t="s">
        <v>267</v>
      </c>
      <c r="Q23" s="1" t="s">
        <v>111</v>
      </c>
      <c r="R23" s="1" t="s">
        <v>112</v>
      </c>
      <c r="S23" s="14">
        <v>19000</v>
      </c>
      <c r="T23" s="1">
        <v>31</v>
      </c>
      <c r="U23" s="14">
        <v>19000</v>
      </c>
      <c r="V23" s="1">
        <v>0</v>
      </c>
      <c r="W23" s="14">
        <v>0</v>
      </c>
      <c r="X23" s="1">
        <v>0</v>
      </c>
      <c r="Y23" s="14">
        <v>0</v>
      </c>
      <c r="Z23" s="1">
        <v>0</v>
      </c>
      <c r="AA23" s="14">
        <v>0</v>
      </c>
      <c r="AB23" s="1">
        <v>0</v>
      </c>
      <c r="AC23" s="14">
        <v>0</v>
      </c>
      <c r="AD23" s="1">
        <v>0</v>
      </c>
      <c r="AE23" s="14">
        <v>0</v>
      </c>
      <c r="AF23" s="15">
        <v>0</v>
      </c>
      <c r="AG23" s="1">
        <v>0</v>
      </c>
      <c r="AH23" s="15">
        <v>0</v>
      </c>
      <c r="AI23" s="14">
        <v>0</v>
      </c>
      <c r="AJ23" s="1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">
        <v>0</v>
      </c>
      <c r="AY23" s="16">
        <v>0</v>
      </c>
      <c r="AZ23" s="1">
        <v>0</v>
      </c>
      <c r="BA23" s="1">
        <v>0</v>
      </c>
      <c r="BB23" s="1">
        <v>0</v>
      </c>
      <c r="BC23" s="1">
        <v>0</v>
      </c>
      <c r="BD23" s="17">
        <v>0</v>
      </c>
      <c r="BE23" s="1">
        <v>0</v>
      </c>
      <c r="BF23" s="1">
        <v>0</v>
      </c>
      <c r="BG23" s="1">
        <v>0</v>
      </c>
      <c r="BH23" s="1">
        <v>0</v>
      </c>
      <c r="BI23" s="17">
        <v>0</v>
      </c>
      <c r="BJ23" s="1">
        <v>0</v>
      </c>
      <c r="BK23" s="1">
        <v>0</v>
      </c>
      <c r="BL23" s="17">
        <v>0</v>
      </c>
      <c r="BM23" s="1">
        <v>0</v>
      </c>
      <c r="BN23" s="1">
        <v>0</v>
      </c>
      <c r="BO23" s="1">
        <v>0</v>
      </c>
      <c r="BP23" s="17">
        <v>0</v>
      </c>
      <c r="BQ23" s="17">
        <v>0</v>
      </c>
      <c r="BR23" s="1">
        <v>0</v>
      </c>
      <c r="BS23" s="16">
        <v>875</v>
      </c>
      <c r="BT23" s="16">
        <v>875</v>
      </c>
      <c r="BU23" s="1">
        <v>0</v>
      </c>
      <c r="BV23" s="1">
        <v>0</v>
      </c>
      <c r="BW23" s="17">
        <v>0</v>
      </c>
      <c r="BX23" s="16">
        <v>0</v>
      </c>
      <c r="BY23" s="14">
        <v>19000</v>
      </c>
      <c r="BZ23" s="16">
        <v>875</v>
      </c>
      <c r="CA23" s="14">
        <v>18125</v>
      </c>
      <c r="CD23" s="18">
        <f>U23+AI23-BD23-AY23</f>
        <v>19000</v>
      </c>
      <c r="CE23">
        <f t="shared" si="1"/>
        <v>875</v>
      </c>
      <c r="CF23" s="18">
        <f t="shared" si="2"/>
        <v>0</v>
      </c>
      <c r="CI23" s="18">
        <f t="shared" si="3"/>
        <v>19000</v>
      </c>
      <c r="CJ23" s="18">
        <f t="shared" si="4"/>
        <v>0</v>
      </c>
    </row>
    <row r="24" spans="1:88" x14ac:dyDescent="0.2">
      <c r="A24" s="1" t="s">
        <v>181</v>
      </c>
      <c r="B24" s="1" t="s">
        <v>239</v>
      </c>
      <c r="C24" s="1" t="s">
        <v>182</v>
      </c>
      <c r="D24" s="1" t="s">
        <v>102</v>
      </c>
      <c r="E24" s="1" t="s">
        <v>103</v>
      </c>
      <c r="F24" s="1" t="s">
        <v>104</v>
      </c>
      <c r="G24" s="1" t="s">
        <v>115</v>
      </c>
      <c r="H24" s="1" t="s">
        <v>128</v>
      </c>
      <c r="I24" s="1" t="s">
        <v>106</v>
      </c>
      <c r="J24" s="1" t="s">
        <v>106</v>
      </c>
      <c r="K24" s="1" t="s">
        <v>106</v>
      </c>
      <c r="L24" s="1" t="s">
        <v>144</v>
      </c>
      <c r="M24" s="1" t="s">
        <v>145</v>
      </c>
      <c r="N24" s="1" t="s">
        <v>109</v>
      </c>
      <c r="O24" s="1" t="s">
        <v>110</v>
      </c>
      <c r="P24" s="24" t="s">
        <v>268</v>
      </c>
      <c r="Q24" s="1" t="s">
        <v>111</v>
      </c>
      <c r="R24" s="1" t="s">
        <v>112</v>
      </c>
      <c r="S24" s="14">
        <v>18561</v>
      </c>
      <c r="T24" s="1">
        <v>31</v>
      </c>
      <c r="U24" s="14">
        <v>18561</v>
      </c>
      <c r="V24" s="1">
        <v>0</v>
      </c>
      <c r="W24" s="14">
        <v>0</v>
      </c>
      <c r="X24" s="1">
        <v>0</v>
      </c>
      <c r="Y24" s="14">
        <v>0</v>
      </c>
      <c r="Z24" s="1">
        <v>0</v>
      </c>
      <c r="AA24" s="14">
        <v>0</v>
      </c>
      <c r="AB24" s="1">
        <v>0</v>
      </c>
      <c r="AC24" s="14">
        <v>0</v>
      </c>
      <c r="AD24" s="1">
        <v>0</v>
      </c>
      <c r="AE24" s="14">
        <v>0</v>
      </c>
      <c r="AF24" s="15">
        <v>0</v>
      </c>
      <c r="AG24" s="1">
        <v>0</v>
      </c>
      <c r="AH24" s="15">
        <v>0</v>
      </c>
      <c r="AI24" s="14">
        <v>0</v>
      </c>
      <c r="AJ24" s="1">
        <v>0</v>
      </c>
      <c r="AK24" s="14">
        <v>500</v>
      </c>
      <c r="AL24" s="14">
        <v>27533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6">
        <v>0</v>
      </c>
      <c r="AS24" s="16">
        <v>0</v>
      </c>
      <c r="AT24" s="16">
        <v>1008.85</v>
      </c>
      <c r="AU24" s="16">
        <v>0</v>
      </c>
      <c r="AV24" s="16">
        <v>0</v>
      </c>
      <c r="AW24" s="16">
        <v>0</v>
      </c>
      <c r="AX24" s="1">
        <v>0</v>
      </c>
      <c r="AY24" s="16">
        <v>0</v>
      </c>
      <c r="AZ24" s="1">
        <v>0</v>
      </c>
      <c r="BA24" s="1">
        <v>0</v>
      </c>
      <c r="BB24" s="1">
        <v>0</v>
      </c>
      <c r="BC24" s="1">
        <v>0</v>
      </c>
      <c r="BD24" s="17">
        <v>0</v>
      </c>
      <c r="BE24" s="1">
        <v>0</v>
      </c>
      <c r="BF24" s="1">
        <v>0</v>
      </c>
      <c r="BG24" s="1">
        <v>0</v>
      </c>
      <c r="BH24" s="1">
        <v>0</v>
      </c>
      <c r="BI24" s="17">
        <v>0</v>
      </c>
      <c r="BJ24" s="1">
        <v>0</v>
      </c>
      <c r="BK24" s="1">
        <v>0</v>
      </c>
      <c r="BL24" s="17">
        <v>0</v>
      </c>
      <c r="BM24" s="1">
        <v>0</v>
      </c>
      <c r="BN24" s="1">
        <v>0</v>
      </c>
      <c r="BO24" s="1">
        <v>0</v>
      </c>
      <c r="BP24" s="17">
        <v>0</v>
      </c>
      <c r="BQ24" s="17">
        <v>0</v>
      </c>
      <c r="BR24" s="1">
        <v>0</v>
      </c>
      <c r="BS24" s="16">
        <v>875</v>
      </c>
      <c r="BT24" s="16">
        <v>875</v>
      </c>
      <c r="BU24" s="1">
        <v>0</v>
      </c>
      <c r="BV24" s="1">
        <v>0</v>
      </c>
      <c r="BW24" s="17">
        <v>0</v>
      </c>
      <c r="BX24" s="16">
        <v>0</v>
      </c>
      <c r="BY24" s="14">
        <v>46594</v>
      </c>
      <c r="BZ24" s="16">
        <v>1883.85</v>
      </c>
      <c r="CA24" s="14">
        <v>44710.15</v>
      </c>
      <c r="CD24" s="18">
        <f t="shared" si="0"/>
        <v>18561</v>
      </c>
      <c r="CE24">
        <f t="shared" si="1"/>
        <v>875</v>
      </c>
      <c r="CF24" s="18">
        <f t="shared" si="2"/>
        <v>0</v>
      </c>
      <c r="CI24" s="18">
        <f t="shared" si="3"/>
        <v>46594</v>
      </c>
      <c r="CJ24" s="18">
        <f t="shared" si="4"/>
        <v>1008.85</v>
      </c>
    </row>
    <row r="25" spans="1:88" x14ac:dyDescent="0.2">
      <c r="A25" s="1" t="s">
        <v>183</v>
      </c>
      <c r="B25" s="1" t="s">
        <v>240</v>
      </c>
      <c r="C25" s="1" t="s">
        <v>184</v>
      </c>
      <c r="D25" s="1" t="s">
        <v>102</v>
      </c>
      <c r="E25" s="1" t="s">
        <v>103</v>
      </c>
      <c r="F25" s="1" t="s">
        <v>104</v>
      </c>
      <c r="G25" s="1" t="s">
        <v>105</v>
      </c>
      <c r="H25" s="1" t="s">
        <v>185</v>
      </c>
      <c r="I25" s="1" t="s">
        <v>106</v>
      </c>
      <c r="J25" s="1" t="s">
        <v>106</v>
      </c>
      <c r="K25" s="1" t="s">
        <v>106</v>
      </c>
      <c r="L25" s="1" t="s">
        <v>144</v>
      </c>
      <c r="M25" s="1" t="s">
        <v>186</v>
      </c>
      <c r="N25" s="1" t="s">
        <v>109</v>
      </c>
      <c r="O25" s="1" t="s">
        <v>110</v>
      </c>
      <c r="P25" s="24" t="s">
        <v>269</v>
      </c>
      <c r="Q25" s="1" t="s">
        <v>111</v>
      </c>
      <c r="R25" s="1" t="s">
        <v>112</v>
      </c>
      <c r="S25" s="14">
        <v>28649</v>
      </c>
      <c r="T25" s="1">
        <v>31</v>
      </c>
      <c r="U25" s="14">
        <v>28649</v>
      </c>
      <c r="V25" s="1">
        <v>0</v>
      </c>
      <c r="W25" s="14">
        <v>0</v>
      </c>
      <c r="X25" s="1">
        <v>0</v>
      </c>
      <c r="Y25" s="14">
        <v>0</v>
      </c>
      <c r="Z25" s="1">
        <v>0</v>
      </c>
      <c r="AA25" s="14">
        <v>0</v>
      </c>
      <c r="AB25" s="1">
        <v>0</v>
      </c>
      <c r="AC25" s="14">
        <v>0</v>
      </c>
      <c r="AD25" s="1">
        <v>0</v>
      </c>
      <c r="AE25" s="14">
        <v>0</v>
      </c>
      <c r="AF25" s="15">
        <v>0</v>
      </c>
      <c r="AG25" s="1">
        <v>0</v>
      </c>
      <c r="AH25" s="15">
        <v>0</v>
      </c>
      <c r="AI25" s="14">
        <v>0</v>
      </c>
      <c r="AJ25" s="1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6">
        <v>0</v>
      </c>
      <c r="AS25" s="16">
        <v>3000</v>
      </c>
      <c r="AT25" s="16">
        <v>53.28</v>
      </c>
      <c r="AU25" s="16">
        <v>540</v>
      </c>
      <c r="AV25" s="16">
        <v>0</v>
      </c>
      <c r="AW25" s="16">
        <v>0</v>
      </c>
      <c r="AX25" s="1">
        <v>0</v>
      </c>
      <c r="AY25" s="16">
        <v>0</v>
      </c>
      <c r="AZ25" s="1">
        <v>0</v>
      </c>
      <c r="BA25" s="1">
        <v>0</v>
      </c>
      <c r="BB25" s="1">
        <v>0</v>
      </c>
      <c r="BC25" s="1">
        <v>0</v>
      </c>
      <c r="BD25" s="17">
        <v>0</v>
      </c>
      <c r="BE25" s="1">
        <v>0</v>
      </c>
      <c r="BF25" s="1">
        <v>0</v>
      </c>
      <c r="BG25" s="1">
        <v>0</v>
      </c>
      <c r="BH25" s="1">
        <v>0</v>
      </c>
      <c r="BI25" s="17">
        <v>0</v>
      </c>
      <c r="BJ25" s="1">
        <v>0</v>
      </c>
      <c r="BK25" s="1">
        <v>0</v>
      </c>
      <c r="BL25" s="17">
        <v>0</v>
      </c>
      <c r="BM25" s="1">
        <v>0</v>
      </c>
      <c r="BN25" s="1">
        <v>0</v>
      </c>
      <c r="BO25" s="1">
        <v>0</v>
      </c>
      <c r="BP25" s="17">
        <v>0</v>
      </c>
      <c r="BQ25" s="17">
        <v>0</v>
      </c>
      <c r="BR25" s="1">
        <v>0</v>
      </c>
      <c r="BS25" s="16">
        <v>875</v>
      </c>
      <c r="BT25" s="16">
        <v>875</v>
      </c>
      <c r="BU25" s="1">
        <v>0</v>
      </c>
      <c r="BV25" s="1">
        <v>0</v>
      </c>
      <c r="BW25" s="17">
        <v>0</v>
      </c>
      <c r="BX25" s="16">
        <v>0</v>
      </c>
      <c r="BY25" s="14">
        <v>28649</v>
      </c>
      <c r="BZ25" s="16">
        <v>4468.28</v>
      </c>
      <c r="CA25" s="14">
        <v>24180.720000000001</v>
      </c>
      <c r="CD25" s="18">
        <f t="shared" si="0"/>
        <v>28649</v>
      </c>
      <c r="CE25">
        <f t="shared" si="1"/>
        <v>875</v>
      </c>
      <c r="CF25" s="18">
        <f t="shared" si="2"/>
        <v>0</v>
      </c>
      <c r="CI25" s="18">
        <f t="shared" si="3"/>
        <v>28649</v>
      </c>
      <c r="CJ25" s="18">
        <f t="shared" si="4"/>
        <v>53.28</v>
      </c>
    </row>
    <row r="26" spans="1:88" x14ac:dyDescent="0.2">
      <c r="A26" s="1" t="s">
        <v>187</v>
      </c>
      <c r="B26" s="1" t="s">
        <v>241</v>
      </c>
      <c r="C26" s="1" t="s">
        <v>188</v>
      </c>
      <c r="D26" s="1" t="s">
        <v>102</v>
      </c>
      <c r="E26" s="1" t="s">
        <v>103</v>
      </c>
      <c r="F26" s="1" t="s">
        <v>104</v>
      </c>
      <c r="G26" s="1" t="s">
        <v>173</v>
      </c>
      <c r="H26" s="1" t="s">
        <v>173</v>
      </c>
      <c r="I26" s="1" t="s">
        <v>106</v>
      </c>
      <c r="J26" s="1" t="s">
        <v>106</v>
      </c>
      <c r="K26" s="1" t="s">
        <v>106</v>
      </c>
      <c r="L26" s="1" t="s">
        <v>144</v>
      </c>
      <c r="M26" s="1" t="s">
        <v>189</v>
      </c>
      <c r="N26" s="1" t="s">
        <v>109</v>
      </c>
      <c r="O26" s="1" t="s">
        <v>110</v>
      </c>
      <c r="P26" s="24" t="s">
        <v>270</v>
      </c>
      <c r="Q26" s="1" t="s">
        <v>111</v>
      </c>
      <c r="R26" s="1" t="s">
        <v>112</v>
      </c>
      <c r="S26" s="14">
        <v>17595</v>
      </c>
      <c r="T26" s="1">
        <v>31</v>
      </c>
      <c r="U26" s="14">
        <v>17595</v>
      </c>
      <c r="V26" s="1">
        <v>0</v>
      </c>
      <c r="W26" s="14">
        <v>0</v>
      </c>
      <c r="X26" s="1">
        <v>0</v>
      </c>
      <c r="Y26" s="14">
        <v>0</v>
      </c>
      <c r="Z26" s="1">
        <v>0</v>
      </c>
      <c r="AA26" s="14">
        <v>0</v>
      </c>
      <c r="AB26" s="1">
        <v>0</v>
      </c>
      <c r="AC26" s="14">
        <v>0</v>
      </c>
      <c r="AD26" s="1">
        <v>0</v>
      </c>
      <c r="AE26" s="14">
        <v>0</v>
      </c>
      <c r="AF26" s="15">
        <v>0</v>
      </c>
      <c r="AG26" s="1">
        <v>0</v>
      </c>
      <c r="AH26" s="15">
        <v>0</v>
      </c>
      <c r="AI26" s="14">
        <v>0</v>
      </c>
      <c r="AJ26" s="1">
        <v>0</v>
      </c>
      <c r="AK26" s="14">
        <v>500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">
        <v>0</v>
      </c>
      <c r="AY26" s="16">
        <v>0</v>
      </c>
      <c r="AZ26" s="1">
        <v>0</v>
      </c>
      <c r="BA26" s="1">
        <v>0</v>
      </c>
      <c r="BB26" s="1">
        <v>0</v>
      </c>
      <c r="BC26" s="1">
        <v>0</v>
      </c>
      <c r="BD26" s="17">
        <v>0</v>
      </c>
      <c r="BE26" s="1">
        <v>0</v>
      </c>
      <c r="BF26" s="1">
        <v>0</v>
      </c>
      <c r="BG26" s="1">
        <v>0</v>
      </c>
      <c r="BH26" s="1">
        <v>0</v>
      </c>
      <c r="BI26" s="17">
        <v>0</v>
      </c>
      <c r="BJ26" s="1">
        <v>0</v>
      </c>
      <c r="BK26" s="1">
        <v>0</v>
      </c>
      <c r="BL26" s="17">
        <v>0</v>
      </c>
      <c r="BM26" s="1">
        <v>0</v>
      </c>
      <c r="BN26" s="1">
        <v>0</v>
      </c>
      <c r="BO26" s="1">
        <v>0</v>
      </c>
      <c r="BP26" s="17">
        <v>0</v>
      </c>
      <c r="BQ26" s="17">
        <v>0</v>
      </c>
      <c r="BR26" s="1">
        <v>0</v>
      </c>
      <c r="BS26" s="16">
        <v>875</v>
      </c>
      <c r="BT26" s="16">
        <v>875</v>
      </c>
      <c r="BU26" s="1">
        <v>0</v>
      </c>
      <c r="BV26" s="1">
        <v>0</v>
      </c>
      <c r="BW26" s="17">
        <v>0</v>
      </c>
      <c r="BX26" s="16">
        <v>0</v>
      </c>
      <c r="BY26" s="14">
        <v>18095</v>
      </c>
      <c r="BZ26" s="16">
        <v>875</v>
      </c>
      <c r="CA26" s="14">
        <v>17220</v>
      </c>
      <c r="CD26" s="18">
        <f t="shared" si="0"/>
        <v>17595</v>
      </c>
      <c r="CE26">
        <f t="shared" si="1"/>
        <v>875</v>
      </c>
      <c r="CF26" s="18">
        <f t="shared" si="2"/>
        <v>0</v>
      </c>
      <c r="CI26" s="18">
        <f t="shared" si="3"/>
        <v>18095</v>
      </c>
      <c r="CJ26" s="18">
        <f t="shared" si="4"/>
        <v>0</v>
      </c>
    </row>
    <row r="27" spans="1:88" x14ac:dyDescent="0.2">
      <c r="A27" s="1" t="s">
        <v>190</v>
      </c>
      <c r="B27" s="1" t="s">
        <v>232</v>
      </c>
      <c r="C27" s="1" t="s">
        <v>191</v>
      </c>
      <c r="D27" s="1" t="s">
        <v>192</v>
      </c>
      <c r="E27" s="1" t="s">
        <v>103</v>
      </c>
      <c r="F27" s="1" t="s">
        <v>104</v>
      </c>
      <c r="G27" s="1" t="s">
        <v>119</v>
      </c>
      <c r="H27" s="1" t="s">
        <v>143</v>
      </c>
      <c r="I27" s="1" t="s">
        <v>106</v>
      </c>
      <c r="J27" s="1" t="s">
        <v>106</v>
      </c>
      <c r="K27" s="1" t="s">
        <v>106</v>
      </c>
      <c r="L27" s="1" t="s">
        <v>144</v>
      </c>
      <c r="M27" s="1" t="s">
        <v>145</v>
      </c>
      <c r="N27" s="1" t="s">
        <v>109</v>
      </c>
      <c r="O27" s="1" t="s">
        <v>110</v>
      </c>
      <c r="P27" s="24" t="s">
        <v>271</v>
      </c>
      <c r="Q27" s="1" t="s">
        <v>111</v>
      </c>
      <c r="R27" s="1" t="s">
        <v>112</v>
      </c>
      <c r="S27" s="14">
        <v>13790</v>
      </c>
      <c r="T27" s="1">
        <v>11</v>
      </c>
      <c r="U27" s="14">
        <v>5056</v>
      </c>
      <c r="V27" s="1">
        <v>0</v>
      </c>
      <c r="W27" s="14">
        <v>0</v>
      </c>
      <c r="X27" s="1">
        <v>0</v>
      </c>
      <c r="Y27" s="14">
        <v>0</v>
      </c>
      <c r="Z27" s="1">
        <v>0</v>
      </c>
      <c r="AA27" s="14">
        <v>0</v>
      </c>
      <c r="AB27" s="1">
        <v>0</v>
      </c>
      <c r="AC27" s="14">
        <v>0</v>
      </c>
      <c r="AD27" s="1">
        <v>0</v>
      </c>
      <c r="AE27" s="14">
        <v>0</v>
      </c>
      <c r="AF27" s="15">
        <v>0</v>
      </c>
      <c r="AG27" s="1">
        <v>0</v>
      </c>
      <c r="AH27" s="15">
        <v>0</v>
      </c>
      <c r="AI27" s="14">
        <v>0</v>
      </c>
      <c r="AJ27" s="1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">
        <v>0</v>
      </c>
      <c r="AY27" s="16">
        <v>0</v>
      </c>
      <c r="AZ27" s="1">
        <v>0</v>
      </c>
      <c r="BA27" s="1">
        <v>0</v>
      </c>
      <c r="BB27" s="1">
        <v>0</v>
      </c>
      <c r="BC27" s="1">
        <v>0</v>
      </c>
      <c r="BD27" s="16">
        <v>0</v>
      </c>
      <c r="BE27" s="1">
        <v>0</v>
      </c>
      <c r="BF27" s="1">
        <v>0</v>
      </c>
      <c r="BG27" s="1">
        <v>0</v>
      </c>
      <c r="BH27" s="1">
        <v>0</v>
      </c>
      <c r="BI27" s="17">
        <v>0</v>
      </c>
      <c r="BJ27" s="1">
        <v>0</v>
      </c>
      <c r="BK27" s="1">
        <v>0</v>
      </c>
      <c r="BL27" s="17">
        <v>0</v>
      </c>
      <c r="BM27" s="1">
        <v>0</v>
      </c>
      <c r="BN27" s="1">
        <v>0</v>
      </c>
      <c r="BO27" s="1">
        <v>0</v>
      </c>
      <c r="BP27" s="17">
        <v>0</v>
      </c>
      <c r="BQ27" s="17">
        <v>0</v>
      </c>
      <c r="BR27" s="1">
        <v>0</v>
      </c>
      <c r="BS27" s="16">
        <v>253</v>
      </c>
      <c r="BT27" s="16">
        <v>253</v>
      </c>
      <c r="BU27" s="1">
        <v>0</v>
      </c>
      <c r="BV27" s="1">
        <v>0</v>
      </c>
      <c r="BW27" s="17">
        <v>0</v>
      </c>
      <c r="BX27" s="16">
        <v>0</v>
      </c>
      <c r="BY27" s="14">
        <v>5056</v>
      </c>
      <c r="BZ27" s="16">
        <v>253</v>
      </c>
      <c r="CA27" s="14">
        <v>4803</v>
      </c>
      <c r="CD27" s="18">
        <f t="shared" si="0"/>
        <v>5056</v>
      </c>
      <c r="CE27">
        <f t="shared" si="1"/>
        <v>253</v>
      </c>
      <c r="CF27" s="18">
        <f t="shared" si="2"/>
        <v>0</v>
      </c>
      <c r="CI27" s="18">
        <f t="shared" si="3"/>
        <v>5056</v>
      </c>
      <c r="CJ27" s="18">
        <f t="shared" si="4"/>
        <v>0</v>
      </c>
    </row>
    <row r="28" spans="1:88" x14ac:dyDescent="0.2">
      <c r="A28" s="1" t="s">
        <v>193</v>
      </c>
      <c r="B28" s="1" t="s">
        <v>242</v>
      </c>
      <c r="C28" s="1" t="s">
        <v>194</v>
      </c>
      <c r="D28" s="1" t="s">
        <v>102</v>
      </c>
      <c r="E28" s="1" t="s">
        <v>103</v>
      </c>
      <c r="F28" s="1" t="s">
        <v>104</v>
      </c>
      <c r="G28" s="1" t="s">
        <v>119</v>
      </c>
      <c r="H28" s="1" t="s">
        <v>143</v>
      </c>
      <c r="I28" s="1" t="s">
        <v>106</v>
      </c>
      <c r="J28" s="1" t="s">
        <v>106</v>
      </c>
      <c r="K28" s="1" t="s">
        <v>106</v>
      </c>
      <c r="L28" s="1" t="s">
        <v>144</v>
      </c>
      <c r="M28" s="1" t="s">
        <v>145</v>
      </c>
      <c r="N28" s="1" t="s">
        <v>109</v>
      </c>
      <c r="O28" s="1" t="s">
        <v>110</v>
      </c>
      <c r="P28" s="24" t="s">
        <v>272</v>
      </c>
      <c r="Q28" s="1" t="s">
        <v>111</v>
      </c>
      <c r="R28" s="1" t="s">
        <v>112</v>
      </c>
      <c r="S28" s="14">
        <v>13790</v>
      </c>
      <c r="T28" s="1">
        <v>31</v>
      </c>
      <c r="U28" s="14">
        <v>13790</v>
      </c>
      <c r="V28" s="1">
        <v>0</v>
      </c>
      <c r="W28" s="14">
        <v>0</v>
      </c>
      <c r="X28" s="1">
        <v>0</v>
      </c>
      <c r="Y28" s="14">
        <v>0</v>
      </c>
      <c r="Z28" s="1">
        <v>0</v>
      </c>
      <c r="AA28" s="14">
        <v>0</v>
      </c>
      <c r="AB28" s="1">
        <v>0</v>
      </c>
      <c r="AC28" s="14">
        <v>0</v>
      </c>
      <c r="AD28" s="1">
        <v>0</v>
      </c>
      <c r="AE28" s="14">
        <v>0</v>
      </c>
      <c r="AF28" s="15">
        <v>0</v>
      </c>
      <c r="AG28" s="1">
        <v>0</v>
      </c>
      <c r="AH28" s="15">
        <v>0</v>
      </c>
      <c r="AI28" s="14">
        <v>0</v>
      </c>
      <c r="AJ28" s="1">
        <v>0</v>
      </c>
      <c r="AK28" s="14">
        <v>500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6">
        <v>0</v>
      </c>
      <c r="AS28" s="16">
        <v>0</v>
      </c>
      <c r="AT28" s="16">
        <v>0</v>
      </c>
      <c r="AU28" s="16">
        <v>64</v>
      </c>
      <c r="AV28" s="16">
        <v>0</v>
      </c>
      <c r="AW28" s="16">
        <v>0</v>
      </c>
      <c r="AX28" s="1">
        <v>0</v>
      </c>
      <c r="AY28" s="16">
        <v>0</v>
      </c>
      <c r="AZ28" s="1">
        <v>0</v>
      </c>
      <c r="BA28" s="1">
        <v>0</v>
      </c>
      <c r="BB28" s="1">
        <v>0</v>
      </c>
      <c r="BC28" s="1">
        <v>0</v>
      </c>
      <c r="BD28" s="17">
        <v>0</v>
      </c>
      <c r="BE28" s="1">
        <v>0</v>
      </c>
      <c r="BF28" s="1">
        <v>0</v>
      </c>
      <c r="BG28" s="1">
        <v>0</v>
      </c>
      <c r="BH28" s="1">
        <v>0</v>
      </c>
      <c r="BI28" s="17">
        <v>0</v>
      </c>
      <c r="BJ28" s="1">
        <v>0</v>
      </c>
      <c r="BK28" s="1">
        <v>0</v>
      </c>
      <c r="BL28" s="17">
        <v>0</v>
      </c>
      <c r="BM28" s="1">
        <v>0</v>
      </c>
      <c r="BN28" s="1">
        <v>0</v>
      </c>
      <c r="BO28" s="1">
        <v>0</v>
      </c>
      <c r="BP28" s="17">
        <v>0</v>
      </c>
      <c r="BQ28" s="17">
        <v>0</v>
      </c>
      <c r="BR28" s="1">
        <v>0</v>
      </c>
      <c r="BS28" s="16">
        <v>690</v>
      </c>
      <c r="BT28" s="16">
        <v>690</v>
      </c>
      <c r="BU28" s="1">
        <v>0</v>
      </c>
      <c r="BV28" s="1">
        <v>0</v>
      </c>
      <c r="BW28" s="17">
        <v>0</v>
      </c>
      <c r="BX28" s="16">
        <v>0</v>
      </c>
      <c r="BY28" s="14">
        <v>14290</v>
      </c>
      <c r="BZ28" s="16">
        <v>754</v>
      </c>
      <c r="CA28" s="14">
        <v>13536</v>
      </c>
      <c r="CD28" s="18">
        <f t="shared" si="0"/>
        <v>13790</v>
      </c>
      <c r="CE28">
        <f t="shared" si="1"/>
        <v>690</v>
      </c>
      <c r="CF28" s="18">
        <f t="shared" si="2"/>
        <v>0</v>
      </c>
      <c r="CI28" s="18">
        <f t="shared" si="3"/>
        <v>14290</v>
      </c>
      <c r="CJ28" s="18">
        <f t="shared" si="4"/>
        <v>0</v>
      </c>
    </row>
    <row r="29" spans="1:88" x14ac:dyDescent="0.2">
      <c r="A29" s="1" t="s">
        <v>195</v>
      </c>
      <c r="B29" s="1" t="s">
        <v>222</v>
      </c>
      <c r="C29" s="1" t="s">
        <v>196</v>
      </c>
      <c r="D29" s="1" t="s">
        <v>102</v>
      </c>
      <c r="E29" s="1" t="s">
        <v>103</v>
      </c>
      <c r="F29" s="1" t="s">
        <v>104</v>
      </c>
      <c r="G29" s="1" t="s">
        <v>119</v>
      </c>
      <c r="H29" s="1" t="s">
        <v>143</v>
      </c>
      <c r="I29" s="1" t="s">
        <v>106</v>
      </c>
      <c r="J29" s="1" t="s">
        <v>106</v>
      </c>
      <c r="K29" s="1" t="s">
        <v>106</v>
      </c>
      <c r="L29" s="1" t="s">
        <v>144</v>
      </c>
      <c r="M29" s="1" t="s">
        <v>145</v>
      </c>
      <c r="N29" s="1" t="s">
        <v>109</v>
      </c>
      <c r="O29" s="1" t="s">
        <v>110</v>
      </c>
      <c r="P29" s="24" t="s">
        <v>273</v>
      </c>
      <c r="Q29" s="1" t="s">
        <v>111</v>
      </c>
      <c r="R29" s="1" t="s">
        <v>112</v>
      </c>
      <c r="S29" s="14">
        <v>13519</v>
      </c>
      <c r="T29" s="1">
        <v>31</v>
      </c>
      <c r="U29" s="14">
        <v>13519</v>
      </c>
      <c r="V29" s="1">
        <v>0</v>
      </c>
      <c r="W29" s="14">
        <v>0</v>
      </c>
      <c r="X29" s="1">
        <v>0</v>
      </c>
      <c r="Y29" s="14">
        <v>0</v>
      </c>
      <c r="Z29" s="1">
        <v>0</v>
      </c>
      <c r="AA29" s="14">
        <v>0</v>
      </c>
      <c r="AB29" s="1">
        <v>0</v>
      </c>
      <c r="AC29" s="14">
        <v>0</v>
      </c>
      <c r="AD29" s="1">
        <v>0</v>
      </c>
      <c r="AE29" s="14">
        <v>0</v>
      </c>
      <c r="AF29" s="15">
        <v>0</v>
      </c>
      <c r="AG29" s="1">
        <v>0</v>
      </c>
      <c r="AH29" s="15">
        <v>0</v>
      </c>
      <c r="AI29" s="14">
        <v>0</v>
      </c>
      <c r="AJ29" s="1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">
        <v>0</v>
      </c>
      <c r="AY29" s="16">
        <v>0</v>
      </c>
      <c r="AZ29" s="1">
        <v>0</v>
      </c>
      <c r="BA29" s="1">
        <v>0</v>
      </c>
      <c r="BB29" s="1">
        <v>0</v>
      </c>
      <c r="BC29" s="1">
        <v>0</v>
      </c>
      <c r="BD29" s="17">
        <v>0</v>
      </c>
      <c r="BE29" s="1">
        <v>0</v>
      </c>
      <c r="BF29" s="1">
        <v>0</v>
      </c>
      <c r="BG29" s="1">
        <v>0</v>
      </c>
      <c r="BH29" s="1">
        <v>0</v>
      </c>
      <c r="BI29" s="17">
        <v>0</v>
      </c>
      <c r="BJ29" s="1">
        <v>0</v>
      </c>
      <c r="BK29" s="1">
        <v>0</v>
      </c>
      <c r="BL29" s="17">
        <v>0</v>
      </c>
      <c r="BM29" s="1">
        <v>0</v>
      </c>
      <c r="BN29" s="1">
        <v>0</v>
      </c>
      <c r="BO29" s="1">
        <v>0</v>
      </c>
      <c r="BP29" s="17">
        <v>0</v>
      </c>
      <c r="BQ29" s="17">
        <v>0</v>
      </c>
      <c r="BR29" s="1">
        <v>0</v>
      </c>
      <c r="BS29" s="16">
        <v>676</v>
      </c>
      <c r="BT29" s="16">
        <v>676</v>
      </c>
      <c r="BU29" s="1">
        <v>0</v>
      </c>
      <c r="BV29" s="1">
        <v>0</v>
      </c>
      <c r="BW29" s="17">
        <v>0</v>
      </c>
      <c r="BX29" s="16">
        <v>0</v>
      </c>
      <c r="BY29" s="14">
        <v>13519</v>
      </c>
      <c r="BZ29" s="16">
        <v>676</v>
      </c>
      <c r="CA29" s="14">
        <v>12843</v>
      </c>
      <c r="CD29" s="18">
        <f t="shared" si="0"/>
        <v>13519</v>
      </c>
      <c r="CE29">
        <f t="shared" si="1"/>
        <v>676</v>
      </c>
      <c r="CF29" s="18">
        <f t="shared" si="2"/>
        <v>0</v>
      </c>
      <c r="CI29" s="18">
        <f t="shared" si="3"/>
        <v>13519</v>
      </c>
      <c r="CJ29" s="18">
        <f t="shared" si="4"/>
        <v>0</v>
      </c>
    </row>
    <row r="30" spans="1:88" x14ac:dyDescent="0.2">
      <c r="A30" s="1" t="s">
        <v>197</v>
      </c>
      <c r="B30" s="1" t="s">
        <v>243</v>
      </c>
      <c r="C30" s="1" t="s">
        <v>198</v>
      </c>
      <c r="D30" s="1" t="s">
        <v>102</v>
      </c>
      <c r="E30" s="1" t="s">
        <v>103</v>
      </c>
      <c r="F30" s="1" t="s">
        <v>104</v>
      </c>
      <c r="G30" s="1" t="s">
        <v>150</v>
      </c>
      <c r="H30" s="1" t="s">
        <v>162</v>
      </c>
      <c r="I30" s="1" t="s">
        <v>106</v>
      </c>
      <c r="J30" s="1" t="s">
        <v>106</v>
      </c>
      <c r="K30" s="1" t="s">
        <v>106</v>
      </c>
      <c r="L30" s="1" t="s">
        <v>163</v>
      </c>
      <c r="M30" s="1" t="s">
        <v>199</v>
      </c>
      <c r="N30" s="1" t="s">
        <v>109</v>
      </c>
      <c r="O30" s="1" t="s">
        <v>110</v>
      </c>
      <c r="P30" s="24" t="s">
        <v>274</v>
      </c>
      <c r="Q30" s="1" t="s">
        <v>111</v>
      </c>
      <c r="R30" s="1" t="s">
        <v>112</v>
      </c>
      <c r="S30" s="14">
        <v>27500</v>
      </c>
      <c r="T30" s="1">
        <v>31</v>
      </c>
      <c r="U30" s="14">
        <v>27500</v>
      </c>
      <c r="V30" s="1">
        <v>0</v>
      </c>
      <c r="W30" s="14">
        <v>0</v>
      </c>
      <c r="X30" s="1">
        <v>0</v>
      </c>
      <c r="Y30" s="14">
        <v>0</v>
      </c>
      <c r="Z30" s="1">
        <v>0</v>
      </c>
      <c r="AA30" s="14">
        <v>0</v>
      </c>
      <c r="AB30" s="1">
        <v>0</v>
      </c>
      <c r="AC30" s="14">
        <v>0</v>
      </c>
      <c r="AD30" s="1">
        <v>0</v>
      </c>
      <c r="AE30" s="14">
        <v>0</v>
      </c>
      <c r="AF30" s="15">
        <v>0</v>
      </c>
      <c r="AG30" s="1">
        <v>0</v>
      </c>
      <c r="AH30" s="15">
        <v>0</v>
      </c>
      <c r="AI30" s="14">
        <v>0</v>
      </c>
      <c r="AJ30" s="1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">
        <v>0</v>
      </c>
      <c r="AY30" s="16">
        <v>0</v>
      </c>
      <c r="AZ30" s="1">
        <v>0</v>
      </c>
      <c r="BA30" s="1">
        <v>0</v>
      </c>
      <c r="BB30" s="1">
        <v>0</v>
      </c>
      <c r="BC30" s="1">
        <v>0</v>
      </c>
      <c r="BD30" s="17">
        <v>0</v>
      </c>
      <c r="BE30" s="1">
        <v>0</v>
      </c>
      <c r="BF30" s="1">
        <v>0</v>
      </c>
      <c r="BG30" s="1">
        <v>0</v>
      </c>
      <c r="BH30" s="1">
        <v>0</v>
      </c>
      <c r="BI30" s="17">
        <v>0</v>
      </c>
      <c r="BJ30" s="1">
        <v>0</v>
      </c>
      <c r="BK30" s="1">
        <v>0</v>
      </c>
      <c r="BL30" s="17">
        <v>0</v>
      </c>
      <c r="BM30" s="1">
        <v>0</v>
      </c>
      <c r="BN30" s="1">
        <v>0</v>
      </c>
      <c r="BO30" s="1">
        <v>0</v>
      </c>
      <c r="BP30" s="17">
        <v>0</v>
      </c>
      <c r="BQ30" s="17">
        <v>0</v>
      </c>
      <c r="BR30" s="1">
        <v>0</v>
      </c>
      <c r="BS30" s="16">
        <v>875</v>
      </c>
      <c r="BT30" s="16">
        <v>875</v>
      </c>
      <c r="BU30" s="1">
        <v>0</v>
      </c>
      <c r="BV30" s="1">
        <v>0</v>
      </c>
      <c r="BW30" s="17">
        <v>0</v>
      </c>
      <c r="BX30" s="16">
        <v>0</v>
      </c>
      <c r="BY30" s="14">
        <v>27500</v>
      </c>
      <c r="BZ30" s="16">
        <v>875</v>
      </c>
      <c r="CA30" s="14">
        <v>26625</v>
      </c>
      <c r="CD30" s="18">
        <f t="shared" si="0"/>
        <v>27500</v>
      </c>
      <c r="CE30">
        <f t="shared" si="1"/>
        <v>875</v>
      </c>
      <c r="CF30" s="18">
        <f t="shared" si="2"/>
        <v>0</v>
      </c>
      <c r="CI30" s="18">
        <f t="shared" si="3"/>
        <v>27500</v>
      </c>
      <c r="CJ30" s="18">
        <f t="shared" si="4"/>
        <v>0</v>
      </c>
    </row>
    <row r="31" spans="1:88" x14ac:dyDescent="0.2">
      <c r="A31" s="1" t="s">
        <v>200</v>
      </c>
      <c r="B31" s="1" t="s">
        <v>244</v>
      </c>
      <c r="C31" s="1" t="s">
        <v>201</v>
      </c>
      <c r="D31" s="1" t="s">
        <v>102</v>
      </c>
      <c r="E31" s="1" t="s">
        <v>103</v>
      </c>
      <c r="F31" s="1" t="s">
        <v>104</v>
      </c>
      <c r="G31" s="1" t="s">
        <v>119</v>
      </c>
      <c r="H31" s="1" t="s">
        <v>143</v>
      </c>
      <c r="I31" s="1" t="s">
        <v>106</v>
      </c>
      <c r="J31" s="1" t="s">
        <v>106</v>
      </c>
      <c r="K31" s="1" t="s">
        <v>106</v>
      </c>
      <c r="L31" s="1" t="s">
        <v>144</v>
      </c>
      <c r="M31" s="1" t="s">
        <v>145</v>
      </c>
      <c r="N31" s="1" t="s">
        <v>109</v>
      </c>
      <c r="O31" s="1" t="s">
        <v>110</v>
      </c>
      <c r="P31" s="24" t="s">
        <v>273</v>
      </c>
      <c r="Q31" s="1" t="s">
        <v>111</v>
      </c>
      <c r="R31" s="1" t="s">
        <v>112</v>
      </c>
      <c r="S31" s="14">
        <v>13292</v>
      </c>
      <c r="T31" s="1">
        <v>31</v>
      </c>
      <c r="U31" s="14">
        <v>13292</v>
      </c>
      <c r="V31" s="1">
        <v>0</v>
      </c>
      <c r="W31" s="14">
        <v>0</v>
      </c>
      <c r="X31" s="1">
        <v>0</v>
      </c>
      <c r="Y31" s="14">
        <v>0</v>
      </c>
      <c r="Z31" s="1">
        <v>0</v>
      </c>
      <c r="AA31" s="14">
        <v>0</v>
      </c>
      <c r="AB31" s="1">
        <v>0</v>
      </c>
      <c r="AC31" s="14">
        <v>0</v>
      </c>
      <c r="AD31" s="1">
        <v>0</v>
      </c>
      <c r="AE31" s="14">
        <v>0</v>
      </c>
      <c r="AF31" s="15">
        <v>0</v>
      </c>
      <c r="AG31" s="1">
        <v>0</v>
      </c>
      <c r="AH31" s="15">
        <v>0</v>
      </c>
      <c r="AI31" s="14">
        <v>0</v>
      </c>
      <c r="AJ31" s="1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">
        <v>0</v>
      </c>
      <c r="AY31" s="16">
        <v>0</v>
      </c>
      <c r="AZ31" s="1">
        <v>0</v>
      </c>
      <c r="BA31" s="1">
        <v>0</v>
      </c>
      <c r="BB31" s="1">
        <v>0</v>
      </c>
      <c r="BC31" s="1">
        <v>0</v>
      </c>
      <c r="BD31" s="16">
        <v>0</v>
      </c>
      <c r="BE31" s="1">
        <v>0</v>
      </c>
      <c r="BF31" s="1">
        <v>0</v>
      </c>
      <c r="BG31" s="1">
        <v>0</v>
      </c>
      <c r="BH31" s="1">
        <v>0</v>
      </c>
      <c r="BI31" s="17">
        <v>0</v>
      </c>
      <c r="BJ31" s="1">
        <v>0</v>
      </c>
      <c r="BK31" s="1">
        <v>0</v>
      </c>
      <c r="BL31" s="17">
        <v>0</v>
      </c>
      <c r="BM31" s="1">
        <v>0</v>
      </c>
      <c r="BN31" s="1">
        <v>0</v>
      </c>
      <c r="BO31" s="1">
        <v>0</v>
      </c>
      <c r="BP31" s="17">
        <v>0</v>
      </c>
      <c r="BQ31" s="17">
        <v>0</v>
      </c>
      <c r="BR31" s="1">
        <v>0</v>
      </c>
      <c r="BS31" s="16">
        <v>665</v>
      </c>
      <c r="BT31" s="16">
        <v>665</v>
      </c>
      <c r="BU31" s="1">
        <v>0</v>
      </c>
      <c r="BV31" s="1">
        <v>0</v>
      </c>
      <c r="BW31" s="17">
        <v>0</v>
      </c>
      <c r="BX31" s="16">
        <v>0</v>
      </c>
      <c r="BY31" s="14">
        <v>13292</v>
      </c>
      <c r="BZ31" s="16">
        <v>665</v>
      </c>
      <c r="CA31" s="14">
        <v>12627</v>
      </c>
      <c r="CD31" s="18">
        <f t="shared" si="0"/>
        <v>13292</v>
      </c>
      <c r="CE31">
        <f t="shared" si="1"/>
        <v>665</v>
      </c>
      <c r="CF31" s="18">
        <f t="shared" si="2"/>
        <v>0</v>
      </c>
      <c r="CI31" s="18">
        <f t="shared" si="3"/>
        <v>13292</v>
      </c>
      <c r="CJ31" s="18">
        <f t="shared" si="4"/>
        <v>0</v>
      </c>
    </row>
    <row r="32" spans="1:88" x14ac:dyDescent="0.2">
      <c r="A32" s="1" t="s">
        <v>202</v>
      </c>
      <c r="B32" s="1" t="s">
        <v>245</v>
      </c>
      <c r="C32" s="1" t="s">
        <v>203</v>
      </c>
      <c r="D32" s="1" t="s">
        <v>102</v>
      </c>
      <c r="E32" s="1" t="s">
        <v>103</v>
      </c>
      <c r="F32" s="1" t="s">
        <v>104</v>
      </c>
      <c r="G32" s="1" t="s">
        <v>105</v>
      </c>
      <c r="H32" s="1" t="s">
        <v>185</v>
      </c>
      <c r="I32" s="1" t="s">
        <v>106</v>
      </c>
      <c r="J32" s="1" t="s">
        <v>106</v>
      </c>
      <c r="K32" s="1" t="s">
        <v>106</v>
      </c>
      <c r="L32" s="1" t="s">
        <v>144</v>
      </c>
      <c r="M32" s="1" t="s">
        <v>204</v>
      </c>
      <c r="N32" s="1" t="s">
        <v>109</v>
      </c>
      <c r="O32" s="1" t="s">
        <v>110</v>
      </c>
      <c r="P32" s="24" t="s">
        <v>274</v>
      </c>
      <c r="Q32" s="1" t="s">
        <v>111</v>
      </c>
      <c r="R32" s="1" t="s">
        <v>112</v>
      </c>
      <c r="S32" s="14">
        <v>17255</v>
      </c>
      <c r="T32" s="1">
        <v>31</v>
      </c>
      <c r="U32" s="14">
        <v>17255</v>
      </c>
      <c r="V32" s="1">
        <v>0</v>
      </c>
      <c r="W32" s="14">
        <v>0</v>
      </c>
      <c r="X32" s="1">
        <v>0</v>
      </c>
      <c r="Y32" s="14">
        <v>0</v>
      </c>
      <c r="Z32" s="1">
        <v>0</v>
      </c>
      <c r="AA32" s="14">
        <v>0</v>
      </c>
      <c r="AB32" s="1">
        <v>0</v>
      </c>
      <c r="AC32" s="14">
        <v>0</v>
      </c>
      <c r="AD32" s="1">
        <v>0</v>
      </c>
      <c r="AE32" s="14">
        <v>0</v>
      </c>
      <c r="AF32" s="15">
        <v>0</v>
      </c>
      <c r="AG32" s="1">
        <v>0</v>
      </c>
      <c r="AH32" s="15">
        <v>0</v>
      </c>
      <c r="AI32" s="14">
        <v>0</v>
      </c>
      <c r="AJ32" s="1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6">
        <v>0</v>
      </c>
      <c r="AS32" s="16">
        <v>0</v>
      </c>
      <c r="AT32" s="16">
        <v>0</v>
      </c>
      <c r="AU32" s="16">
        <v>1200</v>
      </c>
      <c r="AV32" s="16">
        <v>0</v>
      </c>
      <c r="AW32" s="16">
        <v>0</v>
      </c>
      <c r="AX32" s="1">
        <v>0</v>
      </c>
      <c r="AY32" s="16">
        <v>0</v>
      </c>
      <c r="AZ32" s="1">
        <v>0</v>
      </c>
      <c r="BA32" s="1">
        <v>0</v>
      </c>
      <c r="BB32" s="1">
        <v>0</v>
      </c>
      <c r="BC32" s="1">
        <v>0</v>
      </c>
      <c r="BD32" s="17">
        <v>0</v>
      </c>
      <c r="BE32" s="1">
        <v>0</v>
      </c>
      <c r="BF32" s="1">
        <v>0</v>
      </c>
      <c r="BG32" s="1">
        <v>0</v>
      </c>
      <c r="BH32" s="1">
        <v>0</v>
      </c>
      <c r="BI32" s="17">
        <v>0</v>
      </c>
      <c r="BJ32" s="1">
        <v>0</v>
      </c>
      <c r="BK32" s="1">
        <v>0</v>
      </c>
      <c r="BL32" s="17">
        <v>0</v>
      </c>
      <c r="BM32" s="1">
        <v>0</v>
      </c>
      <c r="BN32" s="1">
        <v>0</v>
      </c>
      <c r="BO32" s="1">
        <v>0</v>
      </c>
      <c r="BP32" s="17">
        <v>0</v>
      </c>
      <c r="BQ32" s="17">
        <v>0</v>
      </c>
      <c r="BR32" s="1">
        <v>0</v>
      </c>
      <c r="BS32" s="16">
        <v>863</v>
      </c>
      <c r="BT32" s="16">
        <v>863</v>
      </c>
      <c r="BU32" s="1">
        <v>0</v>
      </c>
      <c r="BV32" s="1">
        <v>0</v>
      </c>
      <c r="BW32" s="17">
        <v>0</v>
      </c>
      <c r="BX32" s="16">
        <v>0</v>
      </c>
      <c r="BY32" s="14">
        <v>17255</v>
      </c>
      <c r="BZ32" s="16">
        <v>2063</v>
      </c>
      <c r="CA32" s="14">
        <v>15192</v>
      </c>
      <c r="CD32" s="18">
        <f t="shared" si="0"/>
        <v>17255</v>
      </c>
      <c r="CE32">
        <f t="shared" si="1"/>
        <v>863</v>
      </c>
      <c r="CF32" s="18">
        <f t="shared" si="2"/>
        <v>0</v>
      </c>
      <c r="CI32" s="18">
        <f t="shared" si="3"/>
        <v>17255</v>
      </c>
      <c r="CJ32" s="18">
        <f t="shared" si="4"/>
        <v>0</v>
      </c>
    </row>
    <row r="33" spans="1:88" x14ac:dyDescent="0.2">
      <c r="A33" s="1" t="s">
        <v>205</v>
      </c>
      <c r="B33" s="1" t="s">
        <v>246</v>
      </c>
      <c r="C33" s="1" t="s">
        <v>206</v>
      </c>
      <c r="D33" s="1" t="s">
        <v>102</v>
      </c>
      <c r="E33" s="1" t="s">
        <v>103</v>
      </c>
      <c r="F33" s="1" t="s">
        <v>104</v>
      </c>
      <c r="G33" s="1" t="s">
        <v>115</v>
      </c>
      <c r="H33" s="1" t="s">
        <v>207</v>
      </c>
      <c r="I33" s="1" t="s">
        <v>106</v>
      </c>
      <c r="J33" s="1" t="s">
        <v>106</v>
      </c>
      <c r="K33" s="1" t="s">
        <v>106</v>
      </c>
      <c r="L33" s="1" t="s">
        <v>129</v>
      </c>
      <c r="M33" s="1" t="s">
        <v>208</v>
      </c>
      <c r="N33" s="1" t="s">
        <v>109</v>
      </c>
      <c r="O33" s="1" t="s">
        <v>110</v>
      </c>
      <c r="P33" s="24" t="s">
        <v>275</v>
      </c>
      <c r="Q33" s="1" t="s">
        <v>111</v>
      </c>
      <c r="R33" s="1" t="s">
        <v>112</v>
      </c>
      <c r="S33" s="14">
        <v>85000</v>
      </c>
      <c r="T33" s="1">
        <v>31</v>
      </c>
      <c r="U33" s="14">
        <v>85000</v>
      </c>
      <c r="V33" s="1">
        <v>0</v>
      </c>
      <c r="W33" s="14">
        <v>0</v>
      </c>
      <c r="X33" s="1">
        <v>0</v>
      </c>
      <c r="Y33" s="14">
        <v>0</v>
      </c>
      <c r="Z33" s="1">
        <v>0</v>
      </c>
      <c r="AA33" s="14">
        <v>0</v>
      </c>
      <c r="AB33" s="1">
        <v>0</v>
      </c>
      <c r="AC33" s="14">
        <v>0</v>
      </c>
      <c r="AD33" s="1">
        <v>0</v>
      </c>
      <c r="AE33" s="14">
        <v>0</v>
      </c>
      <c r="AF33" s="15">
        <v>0</v>
      </c>
      <c r="AG33" s="1">
        <v>0</v>
      </c>
      <c r="AH33" s="15">
        <v>0</v>
      </c>
      <c r="AI33" s="14">
        <v>0</v>
      </c>
      <c r="AJ33" s="1">
        <v>0</v>
      </c>
      <c r="AK33" s="14">
        <v>500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6">
        <v>0</v>
      </c>
      <c r="AS33" s="16">
        <v>0</v>
      </c>
      <c r="AT33" s="16">
        <v>4137.18</v>
      </c>
      <c r="AU33" s="16">
        <v>0</v>
      </c>
      <c r="AV33" s="16">
        <v>0</v>
      </c>
      <c r="AW33" s="16">
        <v>0</v>
      </c>
      <c r="AX33" s="1">
        <v>0</v>
      </c>
      <c r="AY33" s="16">
        <v>0</v>
      </c>
      <c r="AZ33" s="1">
        <v>0</v>
      </c>
      <c r="BA33" s="1">
        <v>0</v>
      </c>
      <c r="BB33" s="1">
        <v>0</v>
      </c>
      <c r="BC33" s="1">
        <v>1</v>
      </c>
      <c r="BD33" s="17">
        <v>0</v>
      </c>
      <c r="BE33" s="1">
        <v>0</v>
      </c>
      <c r="BF33" s="1">
        <v>0</v>
      </c>
      <c r="BG33" s="1">
        <v>0</v>
      </c>
      <c r="BH33" s="1">
        <v>0</v>
      </c>
      <c r="BI33" s="17">
        <v>0</v>
      </c>
      <c r="BJ33" s="1">
        <v>0</v>
      </c>
      <c r="BK33" s="1">
        <v>0</v>
      </c>
      <c r="BL33" s="17">
        <v>0</v>
      </c>
      <c r="BM33" s="1">
        <v>0</v>
      </c>
      <c r="BN33" s="1">
        <v>0</v>
      </c>
      <c r="BO33" s="1">
        <v>0</v>
      </c>
      <c r="BP33" s="17">
        <v>0</v>
      </c>
      <c r="BQ33" s="17">
        <v>0</v>
      </c>
      <c r="BR33" s="1">
        <v>0</v>
      </c>
      <c r="BS33" s="16">
        <v>875</v>
      </c>
      <c r="BT33" s="16">
        <v>875</v>
      </c>
      <c r="BU33" s="1">
        <v>0</v>
      </c>
      <c r="BV33" s="1">
        <v>0</v>
      </c>
      <c r="BW33" s="17">
        <v>0</v>
      </c>
      <c r="BX33" s="16">
        <v>0</v>
      </c>
      <c r="BY33" s="14">
        <v>85500</v>
      </c>
      <c r="BZ33" s="16">
        <v>5012.18</v>
      </c>
      <c r="CA33" s="14">
        <v>80487.820000000007</v>
      </c>
      <c r="CD33" s="18">
        <f t="shared" si="0"/>
        <v>85000</v>
      </c>
      <c r="CE33">
        <f t="shared" si="1"/>
        <v>875</v>
      </c>
      <c r="CF33" s="18">
        <f t="shared" si="2"/>
        <v>0</v>
      </c>
      <c r="CI33" s="18">
        <f t="shared" si="3"/>
        <v>85500</v>
      </c>
      <c r="CJ33" s="18">
        <f t="shared" si="4"/>
        <v>4137.18</v>
      </c>
    </row>
    <row r="34" spans="1:88" x14ac:dyDescent="0.2">
      <c r="A34" s="1" t="s">
        <v>209</v>
      </c>
      <c r="B34" s="1" t="s">
        <v>247</v>
      </c>
      <c r="C34" s="1" t="s">
        <v>210</v>
      </c>
      <c r="D34" s="1" t="s">
        <v>102</v>
      </c>
      <c r="E34" s="1" t="s">
        <v>103</v>
      </c>
      <c r="F34" s="1" t="s">
        <v>104</v>
      </c>
      <c r="G34" s="1" t="s">
        <v>119</v>
      </c>
      <c r="H34" s="1" t="s">
        <v>143</v>
      </c>
      <c r="I34" s="1" t="s">
        <v>106</v>
      </c>
      <c r="J34" s="1" t="s">
        <v>106</v>
      </c>
      <c r="K34" s="1" t="s">
        <v>106</v>
      </c>
      <c r="L34" s="1" t="s">
        <v>144</v>
      </c>
      <c r="M34" s="1" t="s">
        <v>145</v>
      </c>
      <c r="N34" s="1" t="s">
        <v>109</v>
      </c>
      <c r="O34" s="1" t="s">
        <v>110</v>
      </c>
      <c r="P34" s="24" t="s">
        <v>276</v>
      </c>
      <c r="Q34" s="1" t="s">
        <v>111</v>
      </c>
      <c r="R34" s="1" t="s">
        <v>112</v>
      </c>
      <c r="S34" s="14">
        <v>14000</v>
      </c>
      <c r="T34" s="1">
        <v>31</v>
      </c>
      <c r="U34" s="14">
        <v>14000</v>
      </c>
      <c r="V34" s="1">
        <v>0</v>
      </c>
      <c r="W34" s="14">
        <v>0</v>
      </c>
      <c r="X34" s="1">
        <v>0</v>
      </c>
      <c r="Y34" s="14">
        <v>0</v>
      </c>
      <c r="Z34" s="1">
        <v>0</v>
      </c>
      <c r="AA34" s="14">
        <v>0</v>
      </c>
      <c r="AB34" s="1">
        <v>0</v>
      </c>
      <c r="AC34" s="14">
        <v>0</v>
      </c>
      <c r="AD34" s="1">
        <v>0</v>
      </c>
      <c r="AE34" s="14">
        <v>0</v>
      </c>
      <c r="AF34" s="15">
        <v>0</v>
      </c>
      <c r="AG34" s="1">
        <v>0</v>
      </c>
      <c r="AH34" s="15">
        <v>0</v>
      </c>
      <c r="AI34" s="14">
        <v>0</v>
      </c>
      <c r="AJ34" s="1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">
        <v>0</v>
      </c>
      <c r="AY34" s="16">
        <v>0</v>
      </c>
      <c r="AZ34" s="1">
        <v>0</v>
      </c>
      <c r="BA34" s="1">
        <v>0</v>
      </c>
      <c r="BB34" s="1">
        <v>0</v>
      </c>
      <c r="BC34" s="1">
        <v>0</v>
      </c>
      <c r="BD34" s="16">
        <v>0</v>
      </c>
      <c r="BE34" s="1">
        <v>0</v>
      </c>
      <c r="BF34" s="1">
        <v>0</v>
      </c>
      <c r="BG34" s="1">
        <v>0</v>
      </c>
      <c r="BH34" s="1">
        <v>0</v>
      </c>
      <c r="BI34" s="17">
        <v>0</v>
      </c>
      <c r="BJ34" s="1">
        <v>1</v>
      </c>
      <c r="BK34" s="1">
        <v>0</v>
      </c>
      <c r="BL34" s="17">
        <v>467</v>
      </c>
      <c r="BM34" s="1">
        <v>0</v>
      </c>
      <c r="BN34" s="1">
        <v>0</v>
      </c>
      <c r="BO34" s="1">
        <v>0</v>
      </c>
      <c r="BP34" s="17">
        <v>0</v>
      </c>
      <c r="BQ34" s="17">
        <v>0</v>
      </c>
      <c r="BR34" s="1">
        <v>0</v>
      </c>
      <c r="BS34" s="16">
        <v>700</v>
      </c>
      <c r="BT34" s="16">
        <v>700</v>
      </c>
      <c r="BU34" s="1">
        <v>0</v>
      </c>
      <c r="BV34" s="1">
        <v>0</v>
      </c>
      <c r="BW34" s="17">
        <v>0</v>
      </c>
      <c r="BX34" s="16">
        <v>0</v>
      </c>
      <c r="BY34" s="14">
        <v>14000</v>
      </c>
      <c r="BZ34" s="16">
        <v>1167</v>
      </c>
      <c r="CA34" s="14">
        <v>12833</v>
      </c>
      <c r="CD34" s="18">
        <f t="shared" si="0"/>
        <v>14000</v>
      </c>
      <c r="CE34">
        <f t="shared" si="1"/>
        <v>700</v>
      </c>
      <c r="CF34" s="18">
        <f t="shared" si="2"/>
        <v>0</v>
      </c>
      <c r="CI34" s="18">
        <f t="shared" si="3"/>
        <v>14000</v>
      </c>
      <c r="CJ34" s="18">
        <f t="shared" si="4"/>
        <v>0</v>
      </c>
    </row>
    <row r="35" spans="1:88" x14ac:dyDescent="0.2">
      <c r="A35" s="1" t="s">
        <v>211</v>
      </c>
      <c r="B35" s="1" t="s">
        <v>248</v>
      </c>
      <c r="C35" s="1" t="s">
        <v>212</v>
      </c>
      <c r="D35" s="1" t="s">
        <v>102</v>
      </c>
      <c r="E35" s="1" t="s">
        <v>103</v>
      </c>
      <c r="F35" s="1" t="s">
        <v>104</v>
      </c>
      <c r="G35" s="1" t="s">
        <v>115</v>
      </c>
      <c r="H35" s="1" t="s">
        <v>207</v>
      </c>
      <c r="I35" s="1" t="s">
        <v>106</v>
      </c>
      <c r="J35" s="1" t="s">
        <v>106</v>
      </c>
      <c r="K35" s="1" t="s">
        <v>106</v>
      </c>
      <c r="L35" s="1" t="s">
        <v>129</v>
      </c>
      <c r="M35" s="1" t="s">
        <v>130</v>
      </c>
      <c r="N35" s="1" t="s">
        <v>109</v>
      </c>
      <c r="O35" s="1" t="s">
        <v>110</v>
      </c>
      <c r="P35" s="24" t="s">
        <v>277</v>
      </c>
      <c r="Q35" s="1" t="s">
        <v>111</v>
      </c>
      <c r="R35" s="1" t="s">
        <v>112</v>
      </c>
      <c r="S35" s="14">
        <v>65000</v>
      </c>
      <c r="T35" s="1">
        <v>31</v>
      </c>
      <c r="U35" s="14">
        <v>65000</v>
      </c>
      <c r="V35" s="1">
        <v>0</v>
      </c>
      <c r="W35" s="14">
        <v>0</v>
      </c>
      <c r="X35" s="1">
        <v>0</v>
      </c>
      <c r="Y35" s="14">
        <v>0</v>
      </c>
      <c r="Z35" s="1">
        <v>0</v>
      </c>
      <c r="AA35" s="14">
        <v>0</v>
      </c>
      <c r="AB35" s="1">
        <v>0</v>
      </c>
      <c r="AC35" s="14">
        <v>0</v>
      </c>
      <c r="AD35" s="1">
        <v>0</v>
      </c>
      <c r="AE35" s="14">
        <v>0</v>
      </c>
      <c r="AF35" s="15">
        <v>0</v>
      </c>
      <c r="AG35" s="1">
        <v>0</v>
      </c>
      <c r="AH35" s="15">
        <v>0</v>
      </c>
      <c r="AI35" s="14">
        <v>0</v>
      </c>
      <c r="AJ35" s="1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6">
        <v>0</v>
      </c>
      <c r="AS35" s="16">
        <v>0</v>
      </c>
      <c r="AT35" s="16">
        <v>2056.6799999999998</v>
      </c>
      <c r="AU35" s="16">
        <v>0</v>
      </c>
      <c r="AV35" s="16">
        <v>0</v>
      </c>
      <c r="AW35" s="16">
        <v>0</v>
      </c>
      <c r="AX35" s="1">
        <v>0</v>
      </c>
      <c r="AY35" s="16">
        <v>0</v>
      </c>
      <c r="AZ35" s="1">
        <v>0</v>
      </c>
      <c r="BA35" s="1">
        <v>0</v>
      </c>
      <c r="BB35" s="1">
        <v>0</v>
      </c>
      <c r="BC35" s="1">
        <v>0</v>
      </c>
      <c r="BD35" s="17">
        <v>0</v>
      </c>
      <c r="BE35" s="1">
        <v>0</v>
      </c>
      <c r="BF35" s="1">
        <v>0</v>
      </c>
      <c r="BG35" s="1">
        <v>0</v>
      </c>
      <c r="BH35" s="1">
        <v>0</v>
      </c>
      <c r="BI35" s="17">
        <v>0</v>
      </c>
      <c r="BJ35" s="1">
        <v>0</v>
      </c>
      <c r="BK35" s="1">
        <v>3.5</v>
      </c>
      <c r="BL35" s="17">
        <v>2167</v>
      </c>
      <c r="BM35" s="1">
        <v>0</v>
      </c>
      <c r="BN35" s="1">
        <v>0</v>
      </c>
      <c r="BO35" s="1">
        <v>0</v>
      </c>
      <c r="BP35" s="17">
        <v>0</v>
      </c>
      <c r="BQ35" s="17">
        <v>0</v>
      </c>
      <c r="BR35" s="1">
        <v>0</v>
      </c>
      <c r="BS35" s="16">
        <v>875</v>
      </c>
      <c r="BT35" s="16">
        <v>875</v>
      </c>
      <c r="BU35" s="1">
        <v>0</v>
      </c>
      <c r="BV35" s="1">
        <v>0</v>
      </c>
      <c r="BW35" s="17">
        <v>0</v>
      </c>
      <c r="BX35" s="16">
        <v>0</v>
      </c>
      <c r="BY35" s="14">
        <v>65000</v>
      </c>
      <c r="BZ35" s="16">
        <v>5098.68</v>
      </c>
      <c r="CA35" s="14">
        <v>59901.32</v>
      </c>
      <c r="CD35" s="18">
        <f t="shared" si="0"/>
        <v>65000</v>
      </c>
      <c r="CE35">
        <f t="shared" si="1"/>
        <v>875</v>
      </c>
      <c r="CF35" s="18">
        <f t="shared" si="2"/>
        <v>0</v>
      </c>
      <c r="CI35" s="18">
        <f t="shared" si="3"/>
        <v>65000</v>
      </c>
      <c r="CJ35" s="18">
        <f t="shared" si="4"/>
        <v>2056.6799999999998</v>
      </c>
    </row>
    <row r="36" spans="1:88" hidden="1" x14ac:dyDescent="0.2">
      <c r="A36" s="1" t="s">
        <v>213</v>
      </c>
      <c r="B36" s="1" t="s">
        <v>214</v>
      </c>
      <c r="C36" s="1" t="s">
        <v>215</v>
      </c>
      <c r="D36" s="1" t="s">
        <v>216</v>
      </c>
      <c r="E36" s="1" t="s">
        <v>103</v>
      </c>
      <c r="F36" s="1" t="s">
        <v>104</v>
      </c>
      <c r="G36" s="1" t="s">
        <v>105</v>
      </c>
      <c r="H36" s="1" t="s">
        <v>217</v>
      </c>
      <c r="I36" s="1" t="s">
        <v>106</v>
      </c>
      <c r="J36" s="1" t="s">
        <v>106</v>
      </c>
      <c r="K36" s="1" t="s">
        <v>106</v>
      </c>
      <c r="L36" s="1" t="s">
        <v>121</v>
      </c>
      <c r="M36" s="1" t="s">
        <v>218</v>
      </c>
      <c r="N36" s="1" t="s">
        <v>109</v>
      </c>
      <c r="O36" s="1" t="s">
        <v>110</v>
      </c>
      <c r="P36" s="1" t="s">
        <v>219</v>
      </c>
      <c r="Q36" s="1" t="s">
        <v>111</v>
      </c>
      <c r="R36" s="1" t="s">
        <v>112</v>
      </c>
      <c r="S36" s="14">
        <v>26000</v>
      </c>
      <c r="T36" s="1">
        <v>13</v>
      </c>
      <c r="U36" s="14">
        <v>11267</v>
      </c>
      <c r="V36" s="1">
        <v>0</v>
      </c>
      <c r="W36" s="14">
        <v>0</v>
      </c>
      <c r="X36" s="1">
        <v>0</v>
      </c>
      <c r="Y36" s="14">
        <v>0</v>
      </c>
      <c r="Z36" s="1">
        <v>0</v>
      </c>
      <c r="AA36" s="14">
        <v>0</v>
      </c>
      <c r="AB36" s="1">
        <v>0</v>
      </c>
      <c r="AC36" s="14">
        <v>0</v>
      </c>
      <c r="AD36" s="1">
        <v>0</v>
      </c>
      <c r="AE36" s="14">
        <v>0</v>
      </c>
      <c r="AF36" s="15">
        <v>0</v>
      </c>
      <c r="AG36" s="1">
        <v>0</v>
      </c>
      <c r="AH36" s="15">
        <v>0</v>
      </c>
      <c r="AI36" s="14">
        <v>0</v>
      </c>
      <c r="AJ36" s="1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">
        <v>0</v>
      </c>
      <c r="AY36" s="16">
        <v>0</v>
      </c>
      <c r="AZ36" s="1">
        <v>0</v>
      </c>
      <c r="BA36" s="1">
        <v>0</v>
      </c>
      <c r="BB36" s="1">
        <v>0</v>
      </c>
      <c r="BC36" s="1">
        <v>0</v>
      </c>
      <c r="BD36" s="16">
        <v>0</v>
      </c>
      <c r="BE36" s="1">
        <v>0</v>
      </c>
      <c r="BF36" s="1">
        <v>0</v>
      </c>
      <c r="BG36" s="1">
        <v>0</v>
      </c>
      <c r="BH36" s="1">
        <v>0</v>
      </c>
      <c r="BI36" s="17">
        <v>0</v>
      </c>
      <c r="BJ36" s="1">
        <v>1</v>
      </c>
      <c r="BK36" s="1">
        <v>0</v>
      </c>
      <c r="BL36" s="17">
        <v>867</v>
      </c>
      <c r="BM36" s="1">
        <v>0</v>
      </c>
      <c r="BN36" s="1">
        <v>0</v>
      </c>
      <c r="BO36" s="1">
        <v>0</v>
      </c>
      <c r="BP36" s="17">
        <v>0</v>
      </c>
      <c r="BQ36" s="17">
        <v>0</v>
      </c>
      <c r="BR36" s="1">
        <v>0</v>
      </c>
      <c r="BS36" s="16">
        <v>563</v>
      </c>
      <c r="BT36" s="16">
        <v>563</v>
      </c>
      <c r="BU36" s="1">
        <v>0</v>
      </c>
      <c r="BV36" s="1">
        <v>0</v>
      </c>
      <c r="BW36" s="17">
        <v>0</v>
      </c>
      <c r="BX36" s="16">
        <v>0</v>
      </c>
      <c r="BY36" s="14">
        <v>11267</v>
      </c>
      <c r="BZ36" s="16">
        <v>1430</v>
      </c>
      <c r="CA36" s="14">
        <v>9837</v>
      </c>
      <c r="CD36" s="18">
        <f t="shared" si="0"/>
        <v>11267</v>
      </c>
      <c r="CE36">
        <f t="shared" si="1"/>
        <v>563</v>
      </c>
      <c r="CF36" s="18">
        <f t="shared" si="2"/>
        <v>0</v>
      </c>
      <c r="CI36" s="18">
        <f t="shared" si="3"/>
        <v>11267</v>
      </c>
      <c r="CJ36" s="18">
        <f t="shared" si="4"/>
        <v>0</v>
      </c>
    </row>
    <row r="37" spans="1:88" s="19" customFormat="1" x14ac:dyDescent="0.2">
      <c r="A37" s="19" t="s">
        <v>220</v>
      </c>
      <c r="R37" s="20" t="s">
        <v>221</v>
      </c>
      <c r="S37" s="21">
        <v>1145351</v>
      </c>
      <c r="T37" s="21">
        <v>985</v>
      </c>
      <c r="U37" s="21">
        <v>1121884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6500</v>
      </c>
      <c r="AL37" s="21">
        <v>142469</v>
      </c>
      <c r="AM37" s="21">
        <v>0</v>
      </c>
      <c r="AN37" s="21">
        <v>0</v>
      </c>
      <c r="AO37" s="21">
        <v>0</v>
      </c>
      <c r="AP37" s="21">
        <v>0</v>
      </c>
      <c r="AQ37" s="21">
        <v>50000</v>
      </c>
      <c r="AR37" s="21">
        <v>0</v>
      </c>
      <c r="AS37" s="21">
        <v>3000</v>
      </c>
      <c r="AT37" s="21">
        <v>66313.72</v>
      </c>
      <c r="AU37" s="21">
        <v>3519</v>
      </c>
      <c r="AV37" s="21">
        <v>0</v>
      </c>
      <c r="AW37" s="21">
        <v>0</v>
      </c>
      <c r="AX37" s="21">
        <v>0</v>
      </c>
      <c r="AY37" s="21">
        <v>0</v>
      </c>
      <c r="AZ37" s="21">
        <v>2</v>
      </c>
      <c r="BA37" s="21">
        <v>0</v>
      </c>
      <c r="BB37" s="21">
        <v>2</v>
      </c>
      <c r="BC37" s="21">
        <v>21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2</v>
      </c>
      <c r="BK37" s="21">
        <v>3.5</v>
      </c>
      <c r="BL37" s="21">
        <v>8671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27136</v>
      </c>
      <c r="BT37" s="21">
        <v>27136</v>
      </c>
      <c r="BU37" s="21">
        <v>0</v>
      </c>
      <c r="BV37" s="21">
        <v>0</v>
      </c>
      <c r="BW37" s="21">
        <v>0</v>
      </c>
      <c r="BX37" s="21">
        <v>0</v>
      </c>
      <c r="BY37" s="21">
        <v>1320853</v>
      </c>
      <c r="BZ37" s="21">
        <v>108639.72</v>
      </c>
      <c r="CA37" s="21">
        <v>1212213.28</v>
      </c>
      <c r="CD37" s="22">
        <f>SUM(CD4:CD36)</f>
        <v>1121884</v>
      </c>
      <c r="CE37" s="22">
        <f t="shared" ref="CE37:CF37" si="5">SUM(CE4:CE36)</f>
        <v>27136</v>
      </c>
      <c r="CF37" s="22">
        <f t="shared" si="5"/>
        <v>0</v>
      </c>
      <c r="CG37" s="18"/>
      <c r="CH37" s="18"/>
      <c r="CI37" s="23">
        <f t="shared" ref="CI37:CJ37" si="6">SUM(CI4:CI36)</f>
        <v>1320853</v>
      </c>
      <c r="CJ37" s="23">
        <f t="shared" si="6"/>
        <v>66313.719999999987</v>
      </c>
    </row>
  </sheetData>
  <autoFilter ref="A3:CJ37" xr:uid="{D9BBCCA4-902B-4C26-9BDF-0ED7A594F9D6}">
    <filterColumn colId="15">
      <filters blank="1">
        <filter val="0422780757"/>
        <filter val="0442687167"/>
        <filter val="0442975099"/>
        <filter val="0682885892"/>
        <filter val="0932496539"/>
        <filter val="1222252502"/>
        <filter val="1602937227"/>
        <filter val="1604277940"/>
        <filter val="1604596344"/>
        <filter val="1692836685"/>
        <filter val="1772139000"/>
        <filter val="2092042094"/>
        <filter val="2242167288"/>
        <filter val="2242316887"/>
        <filter val="2812124335"/>
        <filter val="2812568270"/>
        <filter val="2812644335"/>
        <filter val="4017328972"/>
        <filter val="4033308405"/>
        <filter val="4039306061"/>
        <filter val="4061248433"/>
        <filter val="4061584300"/>
        <filter val="4084961044"/>
        <filter val="4093079486"/>
        <filter val="4190996929"/>
        <filter val="4191667515"/>
        <filter val="4230379566"/>
        <filter val="4301447056"/>
        <filter val="4332286033"/>
        <filter val="5622969088"/>
        <filter val="6552681895"/>
        <filter val="8462664155"/>
      </filters>
    </filterColumn>
  </autoFilter>
  <mergeCells count="16">
    <mergeCell ref="BQ2:BR2"/>
    <mergeCell ref="BS2:BT2"/>
    <mergeCell ref="BU2:BX2"/>
    <mergeCell ref="BY2:CA2"/>
    <mergeCell ref="AR2:AW2"/>
    <mergeCell ref="AX2:AY2"/>
    <mergeCell ref="AZ2:BD2"/>
    <mergeCell ref="BE2:BI2"/>
    <mergeCell ref="BJ2:BL2"/>
    <mergeCell ref="BM2:BP2"/>
    <mergeCell ref="A2:R2"/>
    <mergeCell ref="S2:U2"/>
    <mergeCell ref="V2:AE2"/>
    <mergeCell ref="AF2:AH2"/>
    <mergeCell ref="AI2:AJ2"/>
    <mergeCell ref="AK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สรุปงวดเงินเดือน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Patamon Maneechai</dc:creator>
  <cp:lastModifiedBy>Patamon Maneechai</cp:lastModifiedBy>
  <dcterms:created xsi:type="dcterms:W3CDTF">2026-07-13T15:27:07Z</dcterms:created>
  <dcterms:modified xsi:type="dcterms:W3CDTF">2026-07-14T14:18:20Z</dcterms:modified>
</cp:coreProperties>
</file>